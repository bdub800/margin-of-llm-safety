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1 Earnings" sheetId="1" state="visible" r:id="rId1"/>
    <sheet xmlns:r="http://schemas.openxmlformats.org/officeDocument/2006/relationships" name="2 Terminal Value" sheetId="2" state="visible" r:id="rId2"/>
    <sheet xmlns:r="http://schemas.openxmlformats.org/officeDocument/2006/relationships" name="3 SOTP 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00;(#,##0.000);&quot;-&quot;"/>
    <numFmt numFmtId="165" formatCode="0.00%;(0.00%);&quot;-&quot;"/>
    <numFmt numFmtId="166" formatCode="#,##0.0;(#,##0.0);&quot;-&quot;"/>
    <numFmt numFmtId="167" formatCode="0.0%;(0.0%);&quot;-&quot;"/>
    <numFmt numFmtId="168" formatCode="#,##0;(#,##0);&quot;-&quot;"/>
    <numFmt numFmtId="169" formatCode="0.000"/>
    <numFmt numFmtId="170" formatCode="0.0;(0.0);&quot;0.0&quot;"/>
    <numFmt numFmtId="171" formatCode="0.00&quot;x&quot;"/>
    <numFmt numFmtId="172" formatCode="0.0&quot;x&quot;"/>
    <numFmt numFmtId="173" formatCode="+0.0&quot;x&quot;;-0.0&quot;x&quot;;0.0&quot;x&quot;"/>
    <numFmt numFmtId="174" formatCode="0.0000"/>
    <numFmt numFmtId="175" formatCode="#,##0.000"/>
    <numFmt numFmtId="176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color rgb="000000FF"/>
    </font>
    <font>
      <color rgb="0000800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right"/>
    </xf>
    <xf numFmtId="164" fontId="3" fillId="2" borderId="0" pivotButton="0" quotePrefix="0" xfId="0"/>
    <xf numFmtId="0" fontId="0" fillId="0" borderId="0" applyAlignment="1" pivotButton="0" quotePrefix="0" xfId="0">
      <alignment/>
    </xf>
    <xf numFmtId="164" fontId="0" fillId="0" borderId="0" pivotButton="0" quotePrefix="0" xfId="0"/>
    <xf numFmtId="165" fontId="3" fillId="2" borderId="0" pivotButton="0" quotePrefix="0" xfId="0"/>
    <xf numFmtId="166" fontId="3" fillId="2" borderId="0" pivotButton="0" quotePrefix="0" xfId="0"/>
    <xf numFmtId="167" fontId="3" fillId="2" borderId="0" pivotButton="0" quotePrefix="0" xfId="0"/>
    <xf numFmtId="168" fontId="3" fillId="2" borderId="0" pivotButton="0" quotePrefix="0" xfId="0"/>
    <xf numFmtId="2" fontId="3" fillId="2" borderId="0" pivotButton="0" quotePrefix="0" xfId="0"/>
    <xf numFmtId="169" fontId="3" fillId="2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6" fillId="0" borderId="0" pivotButton="0" quotePrefix="0" xfId="0"/>
    <xf numFmtId="170" fontId="3" fillId="2" borderId="0" pivotButton="0" quotePrefix="0" xfId="0"/>
    <xf numFmtId="165" fontId="4" fillId="0" borderId="0" pivotButton="0" quotePrefix="0" xfId="0"/>
    <xf numFmtId="170" fontId="4" fillId="0" borderId="0" pivotButton="0" quotePrefix="0" xfId="0"/>
    <xf numFmtId="166" fontId="0" fillId="0" borderId="0" pivotButton="0" quotePrefix="0" xfId="0"/>
    <xf numFmtId="166" fontId="6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9" fontId="0" fillId="0" borderId="0" pivotButton="0" quotePrefix="0" xfId="0"/>
    <xf numFmtId="168" fontId="4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71" fontId="0" fillId="0" borderId="0" pivotButton="0" quotePrefix="0" xfId="0"/>
    <xf numFmtId="172" fontId="3" fillId="2" borderId="0" pivotButton="0" quotePrefix="0" xfId="0"/>
    <xf numFmtId="172" fontId="0" fillId="0" borderId="0" pivotButton="0" quotePrefix="0" xfId="0"/>
    <xf numFmtId="172" fontId="4" fillId="0" borderId="0" pivotButton="0" quotePrefix="0" xfId="0"/>
    <xf numFmtId="1" fontId="3" fillId="2" borderId="0" pivotButton="0" quotePrefix="0" xfId="0"/>
    <xf numFmtId="164" fontId="4" fillId="0" borderId="0" pivotButton="0" quotePrefix="0" xfId="0"/>
    <xf numFmtId="173" fontId="3" fillId="2" borderId="0" pivotButton="0" quotePrefix="0" xfId="0"/>
    <xf numFmtId="174" fontId="0" fillId="0" borderId="0" pivotButton="0" quotePrefix="0" xfId="0"/>
    <xf numFmtId="175" fontId="0" fillId="0" borderId="0" pivotButton="0" quotePrefix="0" xfId="0"/>
    <xf numFmtId="176" fontId="6" fillId="0" borderId="0" pivotButton="0" quotePrefix="0" xfId="0"/>
    <xf numFmtId="2" fontId="0" fillId="0" borderId="0" pivotButton="0" quotePrefix="0" xfId="0"/>
    <xf numFmtId="176" fontId="0" fillId="0" borderId="0" pivotButton="0" quotePrefix="0" xfId="0"/>
    <xf numFmtId="17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90" customWidth="1" min="12" max="12"/>
  </cols>
  <sheetData>
    <row r="1">
      <c r="A1" s="1" t="inlineStr">
        <is>
          <t>Boyd Group Services (BYD.TO) - Sheet 1: Owners' Earnings, historical and forecast</t>
        </is>
      </c>
    </row>
    <row r="2">
      <c r="A2" s="2" t="inlineStr">
        <is>
          <t>US$ millions unless stated. Python sources: owners_earnings_roic.py (historical), forecast_earnings.py (forecast). Share price not used anywhere.</t>
        </is>
      </c>
    </row>
    <row r="3">
      <c r="A3" s="3" t="inlineStr">
        <is>
          <t>Input (change me)</t>
        </is>
      </c>
      <c r="B3" s="4" t="inlineStr">
        <is>
          <t>Linked from elsewhere (do not overwrite)</t>
        </is>
      </c>
      <c r="F3" t="inlineStr">
        <is>
          <t>Black = formula</t>
        </is>
      </c>
    </row>
    <row r="5">
      <c r="A5" s="5" t="inlineStr">
        <is>
          <t>INPUTS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inlineStr">
        <is>
          <t>1.1 Reported figures (US$M, from filings)</t>
        </is>
      </c>
      <c r="B6" s="8" t="inlineStr">
        <is>
          <t>FY2023</t>
        </is>
      </c>
      <c r="C6" s="8" t="inlineStr">
        <is>
          <t>FY2024</t>
        </is>
      </c>
      <c r="D6" s="8" t="inlineStr">
        <is>
          <t>FY2025</t>
        </is>
      </c>
      <c r="E6" s="8" t="inlineStr">
        <is>
          <t>H1-2025</t>
        </is>
      </c>
      <c r="F6" s="8" t="inlineStr">
        <is>
          <t>H1-2026</t>
        </is>
      </c>
      <c r="G6" s="7" t="n"/>
      <c r="H6" s="7" t="n"/>
      <c r="I6" s="7" t="n"/>
      <c r="J6" s="7" t="n"/>
      <c r="K6" s="7" t="n"/>
      <c r="L6" s="7" t="inlineStr">
        <is>
          <t>Source / explanation</t>
        </is>
      </c>
    </row>
    <row r="7">
      <c r="A7" t="inlineStr">
        <is>
          <t>Sales</t>
        </is>
      </c>
      <c r="B7" s="9" t="n">
        <v>2945.988</v>
      </c>
      <c r="C7" s="9" t="n">
        <v>3070.342</v>
      </c>
      <c r="D7" s="9" t="n">
        <v>3142.794</v>
      </c>
      <c r="E7" s="9" t="n">
        <v>1558.73</v>
      </c>
      <c r="F7" s="9" t="n">
        <v>2010.328</v>
      </c>
      <c r="L7" s="10" t="inlineStr">
        <is>
          <t>FY2023 AFS / FY2025 AFS statements of earnings; H1 columns from Q2FY26 interim statements (owners_earnings_roic.py l.30-37)</t>
        </is>
      </c>
    </row>
    <row r="8">
      <c r="A8" t="inlineStr">
        <is>
          <t>Adjusted EBITDA, Q3-2025</t>
        </is>
      </c>
      <c r="B8" s="9" t="n">
        <v>98.366</v>
      </c>
      <c r="L8" s="10" t="inlineStr">
        <is>
          <t>Q2FY26 MD&amp;A quarterly table, line 350</t>
        </is>
      </c>
    </row>
    <row r="9">
      <c r="A9" t="inlineStr">
        <is>
          <t>Adjusted EBITDA, Q4-2025</t>
        </is>
      </c>
      <c r="B9" s="9" t="n">
        <v>103.609</v>
      </c>
      <c r="L9" s="10" t="inlineStr">
        <is>
          <t>Q2FY26 MD&amp;A quarterly table, line 350</t>
        </is>
      </c>
    </row>
    <row r="10">
      <c r="A10" t="inlineStr">
        <is>
          <t>Adjusted EBITDA, Q1-2026</t>
        </is>
      </c>
      <c r="B10" s="9" t="n">
        <v>122.385</v>
      </c>
      <c r="L10" s="10" t="inlineStr">
        <is>
          <t>Q2FY26 MD&amp;A quarterly table, line 350</t>
        </is>
      </c>
    </row>
    <row r="11">
      <c r="A11" t="inlineStr">
        <is>
          <t>Adjusted EBITDA, Q2-2026</t>
        </is>
      </c>
      <c r="B11" s="9" t="n">
        <v>135.932</v>
      </c>
      <c r="L11" s="10" t="inlineStr">
        <is>
          <t>Q2FY26 MD&amp;A quarterly table, line 350</t>
        </is>
      </c>
    </row>
    <row r="12">
      <c r="A12" t="inlineStr">
        <is>
          <t>Adjusted EBITDA (company-reported)</t>
        </is>
      </c>
      <c r="B12" s="9" t="n">
        <v>368.247</v>
      </c>
      <c r="C12" s="9" t="n">
        <v>334.819</v>
      </c>
      <c r="D12" s="9" t="n">
        <v>376.306</v>
      </c>
      <c r="E12" s="11">
        <f>D12-B8-B9</f>
        <v/>
      </c>
      <c r="F12" s="11">
        <f>B10+B11</f>
        <v/>
      </c>
      <c r="L12" s="10" t="inlineStr">
        <is>
          <t>FY2023 MD&amp;A l.282; FY2024 MD&amp;A l.198; FY2025 MD&amp;A l.209. H1-2025 = FY2025 less Q3 and Q4; H1-2026 = Q1 + Q2</t>
        </is>
      </c>
    </row>
    <row r="13">
      <c r="A13" t="inlineStr">
        <is>
          <t>Lease principal repaid - property</t>
        </is>
      </c>
      <c r="B13" s="9" t="n">
        <v>95.441</v>
      </c>
      <c r="C13" s="9" t="n">
        <v>103.888</v>
      </c>
      <c r="D13" s="9" t="n">
        <v>111.142</v>
      </c>
      <c r="E13" s="9" t="n">
        <v>54.892</v>
      </c>
      <c r="F13" s="9" t="n">
        <v>72.637</v>
      </c>
      <c r="L13" s="10" t="inlineStr">
        <is>
          <t>Financing section of cash flow statement (FY2025 AFS l.298; Q2FY26 FS l.167)</t>
        </is>
      </c>
    </row>
    <row r="14">
      <c r="A14" t="inlineStr">
        <is>
          <t>Lease principal repaid - vehicle &amp; equipment</t>
        </is>
      </c>
      <c r="B14" s="9" t="n">
        <v>3.863</v>
      </c>
      <c r="C14" s="9" t="n">
        <v>5.283</v>
      </c>
      <c r="D14" s="9" t="n">
        <v>5.594</v>
      </c>
      <c r="E14" s="9" t="n">
        <v>2.815</v>
      </c>
      <c r="F14" s="9" t="n">
        <v>2.901</v>
      </c>
      <c r="L14" s="10" t="inlineStr">
        <is>
          <t>FY2025 AFS l.299; Q2FY26 FS l.168</t>
        </is>
      </c>
    </row>
    <row r="15">
      <c r="A15" t="inlineStr">
        <is>
          <t>Lease interest paid - property</t>
        </is>
      </c>
      <c r="B15" s="9" t="n">
        <v>31.328</v>
      </c>
      <c r="C15" s="9" t="n">
        <v>39.464</v>
      </c>
      <c r="D15" s="9" t="n">
        <v>44.095</v>
      </c>
      <c r="E15" s="9" t="n">
        <v>21.555</v>
      </c>
      <c r="F15" s="9" t="n">
        <v>31.872</v>
      </c>
      <c r="L15" s="10" t="inlineStr">
        <is>
          <t>FY2025 AFS l.301; Q2FY26 FS l.171</t>
        </is>
      </c>
    </row>
    <row r="16">
      <c r="A16" t="inlineStr">
        <is>
          <t>Lease interest paid - vehicle &amp; equipment</t>
        </is>
      </c>
      <c r="B16" s="9" t="n">
        <v>0.728</v>
      </c>
      <c r="C16" s="9" t="n">
        <v>1.021</v>
      </c>
      <c r="D16" s="9" t="n">
        <v>0.73</v>
      </c>
      <c r="E16" s="9" t="n">
        <v>0.462</v>
      </c>
      <c r="F16" s="9" t="n">
        <v>0.531</v>
      </c>
      <c r="L16" s="10" t="inlineStr">
        <is>
          <t>FY2025 AFS cash flows; Q2FY26 FS l.172. FY2025 principal + interest ties to AFS Note 17 repayments 161,561</t>
        </is>
      </c>
    </row>
    <row r="17">
      <c r="A17" t="inlineStr">
        <is>
          <t>Equipment purchases &amp; facility improvements (actual)</t>
        </is>
      </c>
      <c r="B17" s="9" t="n">
        <v>57.482</v>
      </c>
      <c r="C17" s="9" t="n">
        <v>77.333</v>
      </c>
      <c r="D17" s="9" t="n">
        <v>54.306</v>
      </c>
      <c r="E17" s="9" t="n">
        <v>25.765</v>
      </c>
      <c r="F17" s="9" t="n">
        <v>24.802</v>
      </c>
      <c r="L17" s="10" t="inlineStr">
        <is>
          <t>Investing section of cash flow statement; memo only (maintenance capex is modelled at % of sales)</t>
        </is>
      </c>
    </row>
    <row r="18">
      <c r="A18" t="inlineStr">
        <is>
          <t>Software purchases and licensing (actual)</t>
        </is>
      </c>
      <c r="B18" s="9" t="n">
        <v>1.684</v>
      </c>
      <c r="C18" s="9" t="n">
        <v>3.124</v>
      </c>
      <c r="D18" s="9" t="n">
        <v>8.093999999999999</v>
      </c>
      <c r="E18" s="9" t="n">
        <v>3.132</v>
      </c>
      <c r="F18" s="9" t="n">
        <v>0.9360000000000001</v>
      </c>
      <c r="L18" s="10" t="inlineStr">
        <is>
          <t>Investing section of cash flow statement</t>
        </is>
      </c>
    </row>
    <row r="19">
      <c r="A19" t="inlineStr">
        <is>
          <t>Income taxes paid (cash)</t>
        </is>
      </c>
      <c r="B19" s="9" t="n">
        <v>27.909</v>
      </c>
      <c r="C19" s="9" t="n">
        <v>12.295</v>
      </c>
      <c r="D19" s="9" t="n">
        <v>3.669</v>
      </c>
      <c r="E19" s="9" t="n">
        <v>2.555</v>
      </c>
      <c r="F19" s="9" t="n">
        <v>3.26</v>
      </c>
      <c r="L19" s="10" t="inlineStr">
        <is>
          <t>Supplemental CFS line: FY2023 AFS l.297, FY2024 AFS l.300, FY2025 AFS l.318, Q2FY26 l.190</t>
        </is>
      </c>
    </row>
    <row r="20">
      <c r="A20" t="inlineStr">
        <is>
          <t>Acquisition &amp; transformational cost initiatives (actual)</t>
        </is>
      </c>
      <c r="B20" s="9" t="n">
        <v>4.346</v>
      </c>
      <c r="C20" s="9" t="n">
        <v>9.879</v>
      </c>
      <c r="D20" s="9" t="n">
        <v>30.488</v>
      </c>
      <c r="E20" s="9" t="n">
        <v>13.773</v>
      </c>
      <c r="F20" s="9" t="n">
        <v>31.264</v>
      </c>
      <c r="L20" s="10" t="inlineStr">
        <is>
          <t>Statement of earnings line (FY2023 label: 'Acquisition and transaction costs')</t>
        </is>
      </c>
    </row>
    <row r="21">
      <c r="A21" t="inlineStr">
        <is>
          <t>Cash flow from operations (reported)</t>
        </is>
      </c>
      <c r="B21" s="9" t="n">
        <v>357.545</v>
      </c>
      <c r="C21" s="9" t="n">
        <v>313.325</v>
      </c>
      <c r="D21" s="9" t="n">
        <v>352.989</v>
      </c>
      <c r="E21" s="9" t="n">
        <v>170.593</v>
      </c>
      <c r="F21" s="9" t="n">
        <v>224.591</v>
      </c>
      <c r="L21" s="10" t="inlineStr">
        <is>
          <t>Statements of cash flows. Boyd reports all interest and lease principal in financing (AFS Note 2u)</t>
        </is>
      </c>
    </row>
    <row r="22">
      <c r="A22" t="inlineStr">
        <is>
          <t>Changes in non-cash working capital (in CFO)</t>
        </is>
      </c>
      <c r="B22" s="9" t="n">
        <v>19.072</v>
      </c>
      <c r="C22" s="9" t="n">
        <v>-5.909</v>
      </c>
      <c r="D22" s="9" t="n">
        <v>5.752</v>
      </c>
      <c r="E22" s="9" t="n">
        <v>18.791</v>
      </c>
      <c r="F22" s="9" t="n">
        <v>-6.375</v>
      </c>
      <c r="L22" s="10" t="inlineStr">
        <is>
          <t>Statements of cash flows; used only in the CFO reconciliation</t>
        </is>
      </c>
    </row>
    <row r="23">
      <c r="A23" t="inlineStr">
        <is>
          <t>Equity-settled share-based payment added back in CFO</t>
        </is>
      </c>
      <c r="B23" s="9" t="n">
        <v>0</v>
      </c>
      <c r="C23" s="9" t="n">
        <v>0.928</v>
      </c>
      <c r="D23" s="9" t="n">
        <v>4.319</v>
      </c>
      <c r="E23" s="9" t="n">
        <v>1.877</v>
      </c>
      <c r="F23" s="9" t="n">
        <v>4.689</v>
      </c>
      <c r="L23" s="10" t="inlineStr">
        <is>
          <t>Statements of cash flows (FY2023 not separately disclosed)</t>
        </is>
      </c>
    </row>
    <row r="24">
      <c r="A24" t="inlineStr">
        <is>
          <t>Other non-cash items added back in CFO</t>
        </is>
      </c>
      <c r="B24" s="9" t="n">
        <v>0.444</v>
      </c>
      <c r="C24" s="9" t="n">
        <v>1.033</v>
      </c>
      <c r="D24" s="9" t="n">
        <v>2.928</v>
      </c>
      <c r="E24" s="9" t="n">
        <v>0.001</v>
      </c>
      <c r="F24" s="9" t="n">
        <v>3.425</v>
      </c>
      <c r="L24" s="10" t="inlineStr">
        <is>
          <t>Mainly losses on disposal, already inside Adjusted EBITDA</t>
        </is>
      </c>
    </row>
    <row r="25">
      <c r="A25" t="inlineStr">
        <is>
          <t>Current income tax expense (statement of earnings)</t>
        </is>
      </c>
      <c r="B25" s="9" t="n">
        <v>25.872</v>
      </c>
      <c r="C25" s="9" t="n">
        <v>7.667</v>
      </c>
      <c r="D25" s="9" t="n">
        <v>5.828</v>
      </c>
      <c r="E25" s="9" t="n">
        <v>10.634</v>
      </c>
      <c r="F25" s="9" t="n">
        <v>4.201</v>
      </c>
      <c r="L25" s="10" t="inlineStr">
        <is>
          <t>Statement of earnings; used only in the CFO reconciliation</t>
        </is>
      </c>
    </row>
    <row r="27">
      <c r="A27" s="7" t="inlineStr">
        <is>
          <t>1.2 Owners' Earnings normalization assumptions</t>
        </is>
      </c>
      <c r="B27" s="8" t="inlineStr">
        <is>
          <t>Value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inlineStr">
        <is>
          <t>Source / explanation</t>
        </is>
      </c>
    </row>
    <row r="28">
      <c r="A28" t="inlineStr">
        <is>
          <t>Maintenance capex, % of sales</t>
        </is>
      </c>
      <c r="B28" s="12" t="n">
        <v>0.017</v>
      </c>
      <c r="L28" s="10" t="inlineStr">
        <is>
          <t>Mgmt guidance 1.6-1.8% of sales ex network tech &amp; new locations, midpoint (FY2025 MD&amp;A l.526; Q2FY26 MD&amp;A l.102). Largest single judgment in historical OE</t>
        </is>
      </c>
    </row>
    <row r="29">
      <c r="A29" t="inlineStr">
        <is>
          <t>Normalized recurring acquisition cost (US$M/yr)</t>
        </is>
      </c>
      <c r="B29" s="13" t="n">
        <v>5</v>
      </c>
      <c r="L29" s="10" t="inlineStr">
        <is>
          <t>JUDGMENT: FY2022 actual 1.7, FY2023 actual 4.3 bracket the ordinary-course level (owners_earnings_and_roic.md sec 2.5)</t>
        </is>
      </c>
    </row>
    <row r="30">
      <c r="A30" t="inlineStr">
        <is>
          <t>Normalized tax rate</t>
        </is>
      </c>
      <c r="B30" s="14" t="n">
        <v>0.265</v>
      </c>
      <c r="L30" s="10" t="inlineStr">
        <is>
          <t>Combined statutory rate 26.66% (2025) / 26.53% (2024), FY2025 AFS Note 10a</t>
        </is>
      </c>
    </row>
    <row r="32">
      <c r="A32" s="7" t="inlineStr">
        <is>
          <t>1.3 Forecast inputs, common to all cases</t>
        </is>
      </c>
      <c r="B32" s="8" t="inlineStr">
        <is>
          <t>Value</t>
        </is>
      </c>
      <c r="C32" s="7" t="n"/>
      <c r="D32" s="7" t="n"/>
      <c r="E32" s="7" t="n"/>
      <c r="F32" s="8" t="inlineStr">
        <is>
          <t>2026E</t>
        </is>
      </c>
      <c r="G32" s="8" t="inlineStr">
        <is>
          <t>2027E</t>
        </is>
      </c>
      <c r="H32" s="8" t="inlineStr">
        <is>
          <t>2028E</t>
        </is>
      </c>
      <c r="I32" s="8" t="inlineStr">
        <is>
          <t>2029E</t>
        </is>
      </c>
      <c r="J32" s="8" t="inlineStr">
        <is>
          <t>2030E</t>
        </is>
      </c>
      <c r="K32" s="8" t="inlineStr">
        <is>
          <t>2031E</t>
        </is>
      </c>
      <c r="L32" s="7" t="inlineStr">
        <is>
          <t>Source / explanation</t>
        </is>
      </c>
    </row>
    <row r="33">
      <c r="A33" t="inlineStr">
        <is>
          <t>FY2025 pro-forma sales (2025 acquisitions annualized)</t>
        </is>
      </c>
      <c r="B33" s="9" t="n">
        <v>3235.845</v>
      </c>
      <c r="L33" s="10" t="inlineStr">
        <is>
          <t>FY2025 AFS l.713: revenue if 2025 acquisitions owned from Jan-1-2025. Starting legacy-Boyd sales base</t>
        </is>
      </c>
    </row>
    <row r="34">
      <c r="A34" t="inlineStr">
        <is>
          <t>Project 360 savings already inside FY2025 EBITDA</t>
        </is>
      </c>
      <c r="B34" s="13" t="n">
        <v>40</v>
      </c>
      <c r="L34" s="10" t="inlineStr">
        <is>
          <t>~$40M realized in 2025 (FY2025 MD&amp;A l.111); stripped out of the base margin, added back as savings</t>
        </is>
      </c>
    </row>
    <row r="35">
      <c r="A35" t="inlineStr">
        <is>
          <t>Cumulative cost-program savings vs 2024 base (gross)</t>
        </is>
      </c>
      <c r="F35" s="13" t="n">
        <v>105</v>
      </c>
      <c r="G35" s="13" t="n">
        <v>116.7</v>
      </c>
      <c r="H35" s="13" t="n">
        <v>128.3</v>
      </c>
      <c r="I35" s="13" t="n">
        <v>140</v>
      </c>
      <c r="J35" s="13" t="n">
        <v>140</v>
      </c>
      <c r="K35" s="13" t="n">
        <v>140</v>
      </c>
      <c r="L35" s="10" t="inlineStr">
        <is>
          <t>$40M 2025, +$65M 2026, +$35M ratably 2027-29 (Q2FY26 MD&amp;A l.70, l.221)</t>
        </is>
      </c>
    </row>
    <row r="36">
      <c r="A36" t="inlineStr">
        <is>
          <t>Revenue booked in 2025 by locations acquired in 2025</t>
        </is>
      </c>
      <c r="B36" s="9" t="n">
        <v>31.508</v>
      </c>
      <c r="L36" s="10" t="inlineStr">
        <is>
          <t>FY2025 AFS l.713</t>
        </is>
      </c>
    </row>
    <row r="37">
      <c r="A37" t="inlineStr">
        <is>
          <t>Locations acquired in 2025 (number)</t>
        </is>
      </c>
      <c r="B37" s="15" t="n">
        <v>43</v>
      </c>
      <c r="L37" s="10" t="inlineStr">
        <is>
          <t>FY2025 AFS l.663</t>
        </is>
      </c>
    </row>
    <row r="38">
      <c r="A38" t="inlineStr">
        <is>
          <t>Joe Hudson's pre-deal sales (TTM Jun-25)</t>
        </is>
      </c>
      <c r="B38" s="13" t="n">
        <v>722</v>
      </c>
      <c r="L38" s="10" t="inlineStr">
        <is>
          <t>JH release l.14</t>
        </is>
      </c>
    </row>
    <row r="39">
      <c r="A39" t="inlineStr">
        <is>
          <t>Joe Hudson's pre-synergy Adj. EBITDA margin (pre-rent)</t>
        </is>
      </c>
      <c r="B39" s="14" t="n">
        <v>0.144</v>
      </c>
      <c r="L39" s="10" t="inlineStr">
        <is>
          <t>JH release l.14</t>
        </is>
      </c>
    </row>
    <row r="40">
      <c r="A40" t="inlineStr">
        <is>
          <t>Joe Hudson's FY2026E sales (conversion-disrupted)</t>
        </is>
      </c>
      <c r="B40" s="13" t="n">
        <v>700</v>
      </c>
      <c r="L40" s="10" t="inlineStr">
        <is>
          <t>ASSUMPTION: H1'26 $342.6M x2 plus modest H2 recovery (Q2FY26 MD&amp;A l.72, l.291)</t>
        </is>
      </c>
    </row>
    <row r="41">
      <c r="A41" t="inlineStr">
        <is>
          <t>Joe Hudson's FY2026E margin</t>
        </is>
      </c>
      <c r="B41" s="14" t="n">
        <v>0.13</v>
      </c>
      <c r="L41" s="10" t="inlineStr">
        <is>
          <t>ASSUMPTION: ~$22M lost sales x ~46% gross margin = ~1.4pp below pre-deal</t>
        </is>
      </c>
    </row>
    <row r="42">
      <c r="A42" t="inlineStr">
        <is>
          <t>Operating leverage: margin change per 1pp of SSS above breakeven</t>
        </is>
      </c>
      <c r="B42" s="16" t="n">
        <v>0.3</v>
      </c>
      <c r="L42" s="10" t="inlineStr">
        <is>
          <t>CALIBRATED: mgmt 2-4% SSS -&gt; ~+20bp/yr (FY2025 call l.281); FY2024 SSS -1.8% -&gt; margin -1.6pp</t>
        </is>
      </c>
    </row>
    <row r="43">
      <c r="A43" t="inlineStr">
        <is>
          <t>Operating leverage: breakeven SSS</t>
        </is>
      </c>
      <c r="B43" s="14" t="n">
        <v>0.023</v>
      </c>
      <c r="L43" s="10" t="inlineStr">
        <is>
          <t>CALIBRATED (as above)</t>
        </is>
      </c>
    </row>
    <row r="44">
      <c r="A44" t="inlineStr">
        <is>
          <t>Operating leverage: max margin gain per year</t>
        </is>
      </c>
      <c r="B44" s="12" t="n">
        <v>0.003</v>
      </c>
      <c r="L44" s="10" t="inlineStr">
        <is>
          <t>ASSUMPTION: technician capacity limits the upside</t>
        </is>
      </c>
    </row>
    <row r="45">
      <c r="A45" t="inlineStr">
        <is>
          <t>Operating leverage: max margin loss per year</t>
        </is>
      </c>
      <c r="B45" s="12" t="n">
        <v>-0.004</v>
      </c>
      <c r="L45" s="10" t="inlineStr">
        <is>
          <t>ASSUMPTION: management cost response limits the downside</t>
        </is>
      </c>
    </row>
    <row r="46">
      <c r="A46" t="inlineStr">
        <is>
          <t>New location: tuck-in cost per location (2026 prices)</t>
        </is>
      </c>
      <c r="B46" s="13" t="n">
        <v>2.8</v>
      </c>
      <c r="L46" s="10" t="inlineStr">
        <is>
          <t>2025 consideration $120.8M / 43 = $2.81M (FY2025 AFS l.663); H1'26 $18.9M / 7 = $2.69M</t>
        </is>
      </c>
    </row>
    <row r="47">
      <c r="A47" t="inlineStr">
        <is>
          <t>New location: tuck-in mature sales (2025 prices)</t>
        </is>
      </c>
      <c r="B47" s="11">
        <f>(B33-D7+B36)/B37</f>
        <v/>
      </c>
      <c r="L47" s="10" t="inlineStr">
        <is>
          <t>Formula: 2025 acquired revenue annualized / 43 locations (forecast_earnings.py NewLocationInputs)</t>
        </is>
      </c>
    </row>
    <row r="48">
      <c r="A48" t="inlineStr">
        <is>
          <t>New location: start-up cost per location (2026 prices)</t>
        </is>
      </c>
      <c r="B48" s="13" t="n">
        <v>1.7</v>
      </c>
      <c r="L48" s="10" t="inlineStr">
        <is>
          <t>Pooled 2022-25 leaseholds + equipment $133.7M / 79; mgmt $1.2-1.4M (Q2FY25 call l.146)</t>
        </is>
      </c>
    </row>
    <row r="49">
      <c r="A49" t="inlineStr">
        <is>
          <t>New location: start-up mature sales (2025 prices)</t>
        </is>
      </c>
      <c r="B49" s="13" t="n">
        <v>2.95</v>
      </c>
      <c r="L49" s="10" t="inlineStr">
        <is>
          <t>Avg revenue per location (network $3.10M, JH $2.80M)</t>
        </is>
      </c>
    </row>
    <row r="50">
      <c r="A50" t="inlineStr">
        <is>
          <t>Ramp: share of mature earnings at age 0 / 1 / 2 / 3+ (columns B-E)</t>
        </is>
      </c>
      <c r="B50" s="17" t="n">
        <v>0</v>
      </c>
      <c r="C50" s="17" t="n">
        <v>0.3333333333333333</v>
      </c>
      <c r="D50" s="17" t="n">
        <v>0.6666666666666666</v>
      </c>
      <c r="E50" s="17" t="n">
        <v>1</v>
      </c>
      <c r="L50" s="10" t="inlineStr">
        <is>
          <t>Age 0 = year the capex is spent. Mgmt: locations 'reach maturity by the end of their third year' (Q2FY26 MD&amp;A l.480)</t>
        </is>
      </c>
    </row>
    <row r="51">
      <c r="A51" t="inlineStr">
        <is>
          <t>New location build / purchase cost inflation per year</t>
        </is>
      </c>
      <c r="B51" s="14" t="n">
        <v>0.03</v>
      </c>
      <c r="L51" s="10" t="inlineStr">
        <is>
          <t>ASSUMPTION</t>
        </is>
      </c>
    </row>
    <row r="52">
      <c r="A52" t="inlineStr">
        <is>
          <t>Software capex, % of sales</t>
        </is>
      </c>
      <c r="B52" s="12" t="n">
        <v>0.002</v>
      </c>
      <c r="L52" s="10" t="inlineStr">
        <is>
          <t>~0.16-0.26% of sales historically (owners_earnings_and_roic.md l.103)</t>
        </is>
      </c>
    </row>
    <row r="53">
      <c r="A53" t="inlineStr">
        <is>
          <t>Normalized recurring acquisition cost (US$M/yr)</t>
        </is>
      </c>
      <c r="B53" s="18">
        <f>B29</f>
        <v/>
      </c>
      <c r="L53" s="10" t="inlineStr">
        <is>
          <t>Linked to 1.2</t>
        </is>
      </c>
    </row>
    <row r="54">
      <c r="A54" t="inlineStr">
        <is>
          <t>Tax rate</t>
        </is>
      </c>
      <c r="B54" s="19">
        <f>B30</f>
        <v/>
      </c>
      <c r="L54" s="10" t="inlineStr">
        <is>
          <t>Linked to 1.2</t>
        </is>
      </c>
    </row>
    <row r="55">
      <c r="A55" t="inlineStr">
        <is>
          <t>One-offs: total transformation opex budget</t>
        </is>
      </c>
      <c r="B55" s="13" t="n">
        <v>51.5</v>
      </c>
      <c r="L55" s="10" t="inlineStr">
        <is>
          <t>Q2FY26 MD&amp;A l.223</t>
        </is>
      </c>
    </row>
    <row r="56">
      <c r="A56" t="inlineStr">
        <is>
          <t>One-offs: transformation opex spent to Jun-2026</t>
        </is>
      </c>
      <c r="B56" s="13" t="n">
        <v>35.6</v>
      </c>
      <c r="L56" s="10" t="inlineStr">
        <is>
          <t>Q2FY26 MD&amp;A l.223</t>
        </is>
      </c>
    </row>
    <row r="57">
      <c r="A57" t="inlineStr">
        <is>
          <t>One-offs: total JH integration capex budget</t>
        </is>
      </c>
      <c r="B57" s="13" t="n">
        <v>30</v>
      </c>
      <c r="L57" s="10" t="inlineStr">
        <is>
          <t>Q2FY26 MD&amp;A l.223</t>
        </is>
      </c>
    </row>
    <row r="58">
      <c r="A58" t="inlineStr">
        <is>
          <t>One-offs: JH integration capex spent to Jun-2026</t>
        </is>
      </c>
      <c r="B58" s="13" t="n">
        <v>9.800000000000001</v>
      </c>
      <c r="L58" s="10" t="inlineStr">
        <is>
          <t>Q2FY26 MD&amp;A l.223</t>
        </is>
      </c>
    </row>
    <row r="59">
      <c r="A59" t="inlineStr">
        <is>
          <t>One-offs: share of remaining spend by year</t>
        </is>
      </c>
      <c r="F59" s="14" t="n">
        <v>0.6</v>
      </c>
      <c r="G59" s="14" t="n">
        <v>0.4</v>
      </c>
      <c r="H59" s="14" t="n">
        <v>0</v>
      </c>
      <c r="I59" s="14" t="n">
        <v>0</v>
      </c>
      <c r="J59" s="14" t="n">
        <v>0</v>
      </c>
      <c r="K59" s="14" t="n">
        <v>0</v>
      </c>
      <c r="L59" s="10" t="inlineStr">
        <is>
          <t>ASSUMPTION</t>
        </is>
      </c>
    </row>
    <row r="60">
      <c r="A60" t="inlineStr">
        <is>
          <t>Net debt ex-leases at Jun-30-2026</t>
        </is>
      </c>
      <c r="B60" s="13" t="n">
        <v>953.1</v>
      </c>
      <c r="L60" s="10" t="inlineStr">
        <is>
          <t>Q2FY26 MD&amp;A l.361 (debt net of cash, before leases). Leverage tracking only; not used in valuation</t>
        </is>
      </c>
    </row>
    <row r="61">
      <c r="A61" t="inlineStr">
        <is>
          <t>Cash interest on debt (pre-tax, per year)</t>
        </is>
      </c>
      <c r="B61" s="13" t="n">
        <v>60</v>
      </c>
      <c r="L61" s="10" t="inlineStr">
        <is>
          <t>Q2'26 run-rate x2 (Q2FY26 MD&amp;A l.390)</t>
        </is>
      </c>
    </row>
    <row r="62">
      <c r="A62" t="inlineStr">
        <is>
          <t>Dividends (per year)</t>
        </is>
      </c>
      <c r="B62" s="13" t="n">
        <v>13</v>
      </c>
      <c r="L62" s="10" t="inlineStr">
        <is>
          <t>H1'26 $6.3M x2 (Q2FY26 MD&amp;A l.390)</t>
        </is>
      </c>
    </row>
    <row r="63">
      <c r="A63" t="inlineStr">
        <is>
          <t>Share of FY2026 cash flow still to come after Jun-2026</t>
        </is>
      </c>
      <c r="B63" s="14" t="n">
        <v>0.5</v>
      </c>
      <c r="L63" s="10" t="inlineStr">
        <is>
          <t>Only H2-2026 changes net debt after the Jun-2026 starting point</t>
        </is>
      </c>
    </row>
    <row r="64">
      <c r="A64" t="inlineStr">
        <is>
          <t>Forecast probability weight - Bear</t>
        </is>
      </c>
      <c r="B64" s="14" t="n">
        <v>0.25</v>
      </c>
      <c r="L64" s="10" t="inlineStr">
        <is>
          <t>forecast_earnings.py SCENARIO_WEIGHTS (used for the weighted OE line and on sheet 2)</t>
        </is>
      </c>
    </row>
    <row r="65">
      <c r="A65" t="inlineStr">
        <is>
          <t>Forecast probability weight - Base</t>
        </is>
      </c>
      <c r="B65" s="14" t="n">
        <v>0.5</v>
      </c>
    </row>
    <row r="66">
      <c r="A66" t="inlineStr">
        <is>
          <t>Forecast probability weight - Bull</t>
        </is>
      </c>
      <c r="B66" s="14" t="n">
        <v>0.25</v>
      </c>
    </row>
    <row r="68">
      <c r="A68" s="7" t="inlineStr">
        <is>
          <t>1.4 Scenario drivers</t>
        </is>
      </c>
      <c r="B68" s="8" t="inlineStr">
        <is>
          <t>Value</t>
        </is>
      </c>
      <c r="C68" s="7" t="n"/>
      <c r="D68" s="7" t="n"/>
      <c r="E68" s="7" t="n"/>
      <c r="F68" s="8" t="inlineStr">
        <is>
          <t>2026E</t>
        </is>
      </c>
      <c r="G68" s="8" t="inlineStr">
        <is>
          <t>2027E</t>
        </is>
      </c>
      <c r="H68" s="8" t="inlineStr">
        <is>
          <t>2028E</t>
        </is>
      </c>
      <c r="I68" s="8" t="inlineStr">
        <is>
          <t>2029E</t>
        </is>
      </c>
      <c r="J68" s="8" t="inlineStr">
        <is>
          <t>2030E</t>
        </is>
      </c>
      <c r="K68" s="8" t="inlineStr">
        <is>
          <t>2031E</t>
        </is>
      </c>
      <c r="L68" s="7" t="inlineStr">
        <is>
          <t>Source / explanation</t>
        </is>
      </c>
    </row>
    <row r="69">
      <c r="A69" s="20" t="inlineStr">
        <is>
          <t>Bear</t>
        </is>
      </c>
    </row>
    <row r="70">
      <c r="A70" t="inlineStr">
        <is>
          <t xml:space="preserve">  Industry repairable claims volume (pp)</t>
        </is>
      </c>
      <c r="F70" s="21" t="n">
        <v>-1</v>
      </c>
      <c r="G70" s="21" t="n">
        <v>-1.5</v>
      </c>
      <c r="H70" s="21" t="n">
        <v>-1.5</v>
      </c>
      <c r="I70" s="21" t="n">
        <v>-1.5</v>
      </c>
      <c r="J70" s="21" t="n">
        <v>-1.5</v>
      </c>
      <c r="K70" s="21" t="n">
        <v>-1.5</v>
      </c>
      <c r="L70" s="10" t="inlineStr">
        <is>
          <t>Components of same-store sales growth (forecast_earnings.md sec 2)</t>
        </is>
      </c>
    </row>
    <row r="71">
      <c r="A71" t="inlineStr">
        <is>
          <t xml:space="preserve">  Average total cost of repair (pp)</t>
        </is>
      </c>
      <c r="F71" s="21" t="n">
        <v>1</v>
      </c>
      <c r="G71" s="21" t="n">
        <v>1.5</v>
      </c>
      <c r="H71" s="21" t="n">
        <v>2</v>
      </c>
      <c r="I71" s="21" t="n">
        <v>2</v>
      </c>
      <c r="J71" s="21" t="n">
        <v>2</v>
      </c>
      <c r="K71" s="21" t="n">
        <v>2</v>
      </c>
    </row>
    <row r="72">
      <c r="A72" t="inlineStr">
        <is>
          <t xml:space="preserve">  Boyd share gain (pp)</t>
        </is>
      </c>
      <c r="F72" s="21" t="n">
        <v>2</v>
      </c>
      <c r="G72" s="21" t="n">
        <v>1</v>
      </c>
      <c r="H72" s="21" t="n">
        <v>1</v>
      </c>
      <c r="I72" s="21" t="n">
        <v>1</v>
      </c>
      <c r="J72" s="21" t="n">
        <v>1</v>
      </c>
      <c r="K72" s="21" t="n">
        <v>1</v>
      </c>
    </row>
    <row r="73">
      <c r="A73" t="inlineStr">
        <is>
          <t xml:space="preserve">  Tuck-in acquisitions opened (number)</t>
        </is>
      </c>
      <c r="F73" s="15" t="n">
        <v>20</v>
      </c>
      <c r="G73" s="15" t="n">
        <v>15</v>
      </c>
      <c r="H73" s="15" t="n">
        <v>15</v>
      </c>
      <c r="I73" s="15" t="n">
        <v>15</v>
      </c>
      <c r="J73" s="15" t="n">
        <v>15</v>
      </c>
      <c r="K73" s="15" t="n">
        <v>15</v>
      </c>
    </row>
    <row r="74">
      <c r="A74" t="inlineStr">
        <is>
          <t xml:space="preserve">  Start-ups opened (number)</t>
        </is>
      </c>
      <c r="F74" s="15" t="n">
        <v>27</v>
      </c>
      <c r="G74" s="15" t="n">
        <v>20</v>
      </c>
      <c r="H74" s="15" t="n">
        <v>20</v>
      </c>
      <c r="I74" s="15" t="n">
        <v>20</v>
      </c>
      <c r="J74" s="15" t="n">
        <v>20</v>
      </c>
      <c r="K74" s="15" t="n">
        <v>20</v>
      </c>
    </row>
    <row r="75">
      <c r="A75" t="inlineStr">
        <is>
          <t xml:space="preserve">  Savings retention</t>
        </is>
      </c>
      <c r="B75" s="14" t="n">
        <v>0.6</v>
      </c>
      <c r="L75" s="10" t="inlineStr">
        <is>
          <t>Share of cost-program savings kept (rest absorbed by inflation)</t>
        </is>
      </c>
    </row>
    <row r="76">
      <c r="A76" t="inlineStr">
        <is>
          <t xml:space="preserve">  Maintenance capex, % of sales</t>
        </is>
      </c>
      <c r="B76" s="12" t="n">
        <v>0.02</v>
      </c>
    </row>
    <row r="77">
      <c r="A77" t="inlineStr">
        <is>
          <t xml:space="preserve">  Existing-business rent escalator</t>
        </is>
      </c>
      <c r="B77" s="14" t="n">
        <v>0.03</v>
      </c>
      <c r="L77" s="10" t="inlineStr">
        <is>
          <t>ASSUMPTION: annual growth of existing-business cash rent</t>
        </is>
      </c>
    </row>
    <row r="78">
      <c r="A78" t="inlineStr">
        <is>
          <t xml:space="preserve">  New-location ROIC (mature)</t>
        </is>
      </c>
      <c r="B78" s="14" t="n">
        <v>0.09</v>
      </c>
      <c r="L78" s="10" t="inlineStr">
        <is>
          <t>Mature EBITDA after rent / location cost (pre-maintenance capex, pre-tax)</t>
        </is>
      </c>
    </row>
    <row r="79">
      <c r="A79" s="20" t="inlineStr">
        <is>
          <t>Base</t>
        </is>
      </c>
    </row>
    <row r="80">
      <c r="A80" t="inlineStr">
        <is>
          <t xml:space="preserve">  Industry repairable claims volume (pp)</t>
        </is>
      </c>
      <c r="F80" s="21" t="n">
        <v>-1</v>
      </c>
      <c r="G80" s="21" t="n">
        <v>-1</v>
      </c>
      <c r="H80" s="21" t="n">
        <v>-1</v>
      </c>
      <c r="I80" s="21" t="n">
        <v>-1</v>
      </c>
      <c r="J80" s="21" t="n">
        <v>-1</v>
      </c>
      <c r="K80" s="21" t="n">
        <v>-1</v>
      </c>
    </row>
    <row r="81">
      <c r="A81" t="inlineStr">
        <is>
          <t xml:space="preserve">  Average total cost of repair (pp)</t>
        </is>
      </c>
      <c r="F81" s="21" t="n">
        <v>1.2</v>
      </c>
      <c r="G81" s="21" t="n">
        <v>2</v>
      </c>
      <c r="H81" s="21" t="n">
        <v>3</v>
      </c>
      <c r="I81" s="21" t="n">
        <v>3</v>
      </c>
      <c r="J81" s="21" t="n">
        <v>3</v>
      </c>
      <c r="K81" s="21" t="n">
        <v>3</v>
      </c>
    </row>
    <row r="82">
      <c r="A82" t="inlineStr">
        <is>
          <t xml:space="preserve">  Boyd share gain (pp)</t>
        </is>
      </c>
      <c r="F82" s="21" t="n">
        <v>2</v>
      </c>
      <c r="G82" s="21" t="n">
        <v>1.5</v>
      </c>
      <c r="H82" s="21" t="n">
        <v>1</v>
      </c>
      <c r="I82" s="21" t="n">
        <v>1</v>
      </c>
      <c r="J82" s="21" t="n">
        <v>1</v>
      </c>
      <c r="K82" s="21" t="n">
        <v>1</v>
      </c>
    </row>
    <row r="83">
      <c r="A83" t="inlineStr">
        <is>
          <t xml:space="preserve">  Tuck-in acquisitions opened (number)</t>
        </is>
      </c>
      <c r="F83" s="15" t="n">
        <v>25</v>
      </c>
      <c r="G83" s="15" t="n">
        <v>30</v>
      </c>
      <c r="H83" s="15" t="n">
        <v>30</v>
      </c>
      <c r="I83" s="15" t="n">
        <v>30</v>
      </c>
      <c r="J83" s="15" t="n">
        <v>30</v>
      </c>
      <c r="K83" s="15" t="n">
        <v>30</v>
      </c>
      <c r="L83" s="10" t="inlineStr">
        <is>
          <t>Base 2027+: 8 start-ups/qtr pipeline plus a similar number of tuck-ins (unit_growth_capital_check.py)</t>
        </is>
      </c>
    </row>
    <row r="84">
      <c r="A84" t="inlineStr">
        <is>
          <t xml:space="preserve">  Start-ups opened (number)</t>
        </is>
      </c>
      <c r="F84" s="15" t="n">
        <v>27</v>
      </c>
      <c r="G84" s="15" t="n">
        <v>32</v>
      </c>
      <c r="H84" s="15" t="n">
        <v>32</v>
      </c>
      <c r="I84" s="15" t="n">
        <v>32</v>
      </c>
      <c r="J84" s="15" t="n">
        <v>32</v>
      </c>
      <c r="K84" s="15" t="n">
        <v>32</v>
      </c>
    </row>
    <row r="85">
      <c r="A85" t="inlineStr">
        <is>
          <t xml:space="preserve">  Savings retention</t>
        </is>
      </c>
      <c r="B85" s="14" t="n">
        <v>0.8</v>
      </c>
      <c r="L85" s="10" t="inlineStr">
        <is>
          <t>Share of cost-program savings kept (rest absorbed by inflation)</t>
        </is>
      </c>
    </row>
    <row r="86">
      <c r="A86" t="inlineStr">
        <is>
          <t xml:space="preserve">  Maintenance capex, % of sales</t>
        </is>
      </c>
      <c r="B86" s="22">
        <f>B28</f>
        <v/>
      </c>
      <c r="L86" s="10" t="inlineStr">
        <is>
          <t>Linked to 1.2 (same management guidance midpoint)</t>
        </is>
      </c>
    </row>
    <row r="87">
      <c r="A87" t="inlineStr">
        <is>
          <t xml:space="preserve">  Existing-business rent escalator</t>
        </is>
      </c>
      <c r="B87" s="14" t="n">
        <v>0.025</v>
      </c>
      <c r="L87" s="10" t="inlineStr">
        <is>
          <t>ASSUMPTION: annual growth of existing-business cash rent</t>
        </is>
      </c>
    </row>
    <row r="88">
      <c r="A88" t="inlineStr">
        <is>
          <t xml:space="preserve">  New-location ROIC (mature)</t>
        </is>
      </c>
      <c r="B88" s="14" t="n">
        <v>0.13</v>
      </c>
      <c r="L88" s="10" t="inlineStr">
        <is>
          <t>Mature EBITDA after rent / location cost (pre-maintenance capex, pre-tax)</t>
        </is>
      </c>
    </row>
    <row r="89">
      <c r="A89" s="20" t="inlineStr">
        <is>
          <t>Bull</t>
        </is>
      </c>
    </row>
    <row r="90">
      <c r="A90" t="inlineStr">
        <is>
          <t xml:space="preserve">  Industry repairable claims volume (pp)</t>
        </is>
      </c>
      <c r="F90" s="21" t="n">
        <v>-1</v>
      </c>
      <c r="G90" s="21" t="n">
        <v>-0.5</v>
      </c>
      <c r="H90" s="21" t="n">
        <v>-0.5</v>
      </c>
      <c r="I90" s="21" t="n">
        <v>-0.5</v>
      </c>
      <c r="J90" s="21" t="n">
        <v>-0.5</v>
      </c>
      <c r="K90" s="21" t="n">
        <v>-0.5</v>
      </c>
    </row>
    <row r="91">
      <c r="A91" t="inlineStr">
        <is>
          <t xml:space="preserve">  Average total cost of repair (pp)</t>
        </is>
      </c>
      <c r="F91" s="21" t="n">
        <v>1.2</v>
      </c>
      <c r="G91" s="21" t="n">
        <v>3</v>
      </c>
      <c r="H91" s="21" t="n">
        <v>4</v>
      </c>
      <c r="I91" s="21" t="n">
        <v>4</v>
      </c>
      <c r="J91" s="21" t="n">
        <v>4</v>
      </c>
      <c r="K91" s="21" t="n">
        <v>4</v>
      </c>
    </row>
    <row r="92">
      <c r="A92" t="inlineStr">
        <is>
          <t xml:space="preserve">  Boyd share gain (pp)</t>
        </is>
      </c>
      <c r="F92" s="21" t="n">
        <v>2</v>
      </c>
      <c r="G92" s="21" t="n">
        <v>2</v>
      </c>
      <c r="H92" s="21" t="n">
        <v>1.5</v>
      </c>
      <c r="I92" s="21" t="n">
        <v>1.5</v>
      </c>
      <c r="J92" s="21" t="n">
        <v>1</v>
      </c>
      <c r="K92" s="21" t="n">
        <v>1</v>
      </c>
    </row>
    <row r="93">
      <c r="A93" t="inlineStr">
        <is>
          <t xml:space="preserve">  Tuck-in acquisitions opened (number)</t>
        </is>
      </c>
      <c r="F93" s="15" t="n">
        <v>30</v>
      </c>
      <c r="G93" s="15" t="n">
        <v>40</v>
      </c>
      <c r="H93" s="15" t="n">
        <v>40</v>
      </c>
      <c r="I93" s="15" t="n">
        <v>40</v>
      </c>
      <c r="J93" s="15" t="n">
        <v>40</v>
      </c>
      <c r="K93" s="15" t="n">
        <v>40</v>
      </c>
    </row>
    <row r="94">
      <c r="A94" t="inlineStr">
        <is>
          <t xml:space="preserve">  Start-ups opened (number)</t>
        </is>
      </c>
      <c r="F94" s="15" t="n">
        <v>27</v>
      </c>
      <c r="G94" s="15" t="n">
        <v>36</v>
      </c>
      <c r="H94" s="15" t="n">
        <v>36</v>
      </c>
      <c r="I94" s="15" t="n">
        <v>36</v>
      </c>
      <c r="J94" s="15" t="n">
        <v>36</v>
      </c>
      <c r="K94" s="15" t="n">
        <v>36</v>
      </c>
    </row>
    <row r="95">
      <c r="A95" t="inlineStr">
        <is>
          <t xml:space="preserve">  Savings retention</t>
        </is>
      </c>
      <c r="B95" s="14" t="n">
        <v>1</v>
      </c>
      <c r="L95" s="10" t="inlineStr">
        <is>
          <t>Share of cost-program savings kept (rest absorbed by inflation)</t>
        </is>
      </c>
    </row>
    <row r="96">
      <c r="A96" t="inlineStr">
        <is>
          <t xml:space="preserve">  Maintenance capex, % of sales</t>
        </is>
      </c>
      <c r="B96" s="12" t="n">
        <v>0.016</v>
      </c>
    </row>
    <row r="97">
      <c r="A97" t="inlineStr">
        <is>
          <t xml:space="preserve">  Existing-business rent escalator</t>
        </is>
      </c>
      <c r="B97" s="14" t="n">
        <v>0.025</v>
      </c>
      <c r="L97" s="10" t="inlineStr">
        <is>
          <t>ASSUMPTION: annual growth of existing-business cash rent</t>
        </is>
      </c>
    </row>
    <row r="98">
      <c r="A98" t="inlineStr">
        <is>
          <t xml:space="preserve">  New-location ROIC (mature)</t>
        </is>
      </c>
      <c r="B98" s="14" t="n">
        <v>0.17</v>
      </c>
      <c r="L98" s="10" t="inlineStr">
        <is>
          <t>Mature EBITDA after rent / location cost (pre-maintenance capex, pre-tax)</t>
        </is>
      </c>
    </row>
    <row r="99">
      <c r="A99" s="20" t="inlineStr">
        <is>
          <t>No growth (existing business only)</t>
        </is>
      </c>
    </row>
    <row r="100">
      <c r="A100" t="inlineStr">
        <is>
          <t xml:space="preserve">  Industry repairable claims volume (pp)</t>
        </is>
      </c>
      <c r="F100" s="23">
        <f>F80</f>
        <v/>
      </c>
      <c r="G100" s="23">
        <f>G80</f>
        <v/>
      </c>
      <c r="H100" s="23">
        <f>H80</f>
        <v/>
      </c>
      <c r="I100" s="23">
        <f>I80</f>
        <v/>
      </c>
      <c r="J100" s="23">
        <f>J80</f>
        <v/>
      </c>
      <c r="K100" s="23">
        <f>K80</f>
        <v/>
      </c>
    </row>
    <row r="101">
      <c r="A101" t="inlineStr">
        <is>
          <t xml:space="preserve">  Average total cost of repair (pp)</t>
        </is>
      </c>
      <c r="F101" s="23">
        <f>F81</f>
        <v/>
      </c>
      <c r="G101" s="23">
        <f>G81</f>
        <v/>
      </c>
      <c r="H101" s="23">
        <f>H81</f>
        <v/>
      </c>
      <c r="I101" s="23">
        <f>I81</f>
        <v/>
      </c>
      <c r="J101" s="23">
        <f>J81</f>
        <v/>
      </c>
      <c r="K101" s="23">
        <f>K81</f>
        <v/>
      </c>
    </row>
    <row r="102">
      <c r="A102" t="inlineStr">
        <is>
          <t xml:space="preserve">  Boyd share gain (pp)</t>
        </is>
      </c>
      <c r="F102" s="23">
        <f>F82</f>
        <v/>
      </c>
      <c r="G102" s="23">
        <f>G82</f>
        <v/>
      </c>
      <c r="H102" s="23">
        <f>H82</f>
        <v/>
      </c>
      <c r="I102" s="23">
        <f>I82</f>
        <v/>
      </c>
      <c r="J102" s="23">
        <f>J82</f>
        <v/>
      </c>
      <c r="K102" s="23">
        <f>K82</f>
        <v/>
      </c>
    </row>
    <row r="103">
      <c r="A103" t="inlineStr">
        <is>
          <t xml:space="preserve">  Tuck-in acquisitions opened (number)</t>
        </is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0" t="inlineStr">
        <is>
          <t>No locations opened from 2026</t>
        </is>
      </c>
    </row>
    <row r="104">
      <c r="A104" t="inlineStr">
        <is>
          <t xml:space="preserve">  Start-ups opened (number)</t>
        </is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</row>
    <row r="105">
      <c r="A105" t="inlineStr">
        <is>
          <t xml:space="preserve">  Savings retention</t>
        </is>
      </c>
      <c r="B105" s="19">
        <f>B85</f>
        <v/>
      </c>
      <c r="L105" s="10" t="inlineStr">
        <is>
          <t>Share of cost-program savings kept (rest absorbed by inflation)</t>
        </is>
      </c>
    </row>
    <row r="106">
      <c r="A106" t="inlineStr">
        <is>
          <t xml:space="preserve">  Maintenance capex, % of sales</t>
        </is>
      </c>
      <c r="B106" s="22">
        <f>B86</f>
        <v/>
      </c>
    </row>
    <row r="107">
      <c r="A107" t="inlineStr">
        <is>
          <t xml:space="preserve">  Existing-business rent escalator</t>
        </is>
      </c>
      <c r="B107" s="19">
        <f>B87</f>
        <v/>
      </c>
      <c r="L107" s="10" t="inlineStr">
        <is>
          <t>ASSUMPTION: annual growth of existing-business cash rent</t>
        </is>
      </c>
    </row>
    <row r="108">
      <c r="A108" t="inlineStr">
        <is>
          <t xml:space="preserve">  New-location ROIC (mature)</t>
        </is>
      </c>
      <c r="B108" s="19">
        <f>B88</f>
        <v/>
      </c>
      <c r="L108" s="10" t="inlineStr">
        <is>
          <t>Mature EBITDA after rent / location cost (pre-maintenance capex, pre-tax)</t>
        </is>
      </c>
    </row>
    <row r="110">
      <c r="A110" s="5" t="inlineStr">
        <is>
          <t>CALCULATIONS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7" t="inlineStr">
        <is>
          <t>2. Historical Owners' Earnings - adjustments from Adjusted EBITDA</t>
        </is>
      </c>
      <c r="B111" s="8" t="inlineStr">
        <is>
          <t>FY2023</t>
        </is>
      </c>
      <c r="C111" s="8" t="inlineStr">
        <is>
          <t>FY2024</t>
        </is>
      </c>
      <c r="D111" s="8" t="inlineStr">
        <is>
          <t>FY2025</t>
        </is>
      </c>
      <c r="E111" s="8" t="inlineStr">
        <is>
          <t>TTM Jun-26</t>
        </is>
      </c>
      <c r="F111" s="7" t="n"/>
      <c r="G111" s="7" t="n"/>
      <c r="H111" s="7" t="n"/>
      <c r="I111" s="7" t="n"/>
      <c r="J111" s="7" t="n"/>
      <c r="K111" s="7" t="n"/>
      <c r="L111" s="7" t="inlineStr">
        <is>
          <t>Source / explanation</t>
        </is>
      </c>
    </row>
    <row r="112">
      <c r="A112" s="2" t="inlineStr">
        <is>
          <t>TTM Jun-2026 = FY2025 - H1-2025 + H1-2026 for every line. Deductions shown as negatives.</t>
        </is>
      </c>
    </row>
    <row r="113">
      <c r="A113" t="inlineStr">
        <is>
          <t>Sales</t>
        </is>
      </c>
      <c r="B113" s="24">
        <f>B7</f>
        <v/>
      </c>
      <c r="C113" s="24">
        <f>C7</f>
        <v/>
      </c>
      <c r="D113" s="24">
        <f>D7</f>
        <v/>
      </c>
      <c r="E113" s="24">
        <f>(D7-E7+F7)</f>
        <v/>
      </c>
    </row>
    <row r="114">
      <c r="A114" s="20" t="inlineStr">
        <is>
          <t>Adjusted EBITDA (company-reported)</t>
        </is>
      </c>
      <c r="B114" s="25">
        <f>B12</f>
        <v/>
      </c>
      <c r="C114" s="25">
        <f>C12</f>
        <v/>
      </c>
      <c r="D114" s="25">
        <f>D12</f>
        <v/>
      </c>
      <c r="E114" s="25">
        <f>(D12-E12+F12)</f>
        <v/>
      </c>
      <c r="L114" s="10" t="inlineStr">
        <is>
          <t>Already after SBC</t>
        </is>
      </c>
    </row>
    <row r="115">
      <c r="A115" t="inlineStr">
        <is>
          <t xml:space="preserve">  Adjusted EBITDA margin</t>
        </is>
      </c>
      <c r="B115" s="26">
        <f>B114/B113</f>
        <v/>
      </c>
      <c r="C115" s="26">
        <f>C114/C113</f>
        <v/>
      </c>
      <c r="D115" s="26">
        <f>D114/D113</f>
        <v/>
      </c>
      <c r="E115" s="26">
        <f>E114/E113</f>
        <v/>
      </c>
    </row>
    <row r="116">
      <c r="A116" t="inlineStr">
        <is>
          <t xml:space="preserve">  Lease principal - property</t>
        </is>
      </c>
      <c r="B116" s="24">
        <f>-B13</f>
        <v/>
      </c>
      <c r="C116" s="24">
        <f>-C13</f>
        <v/>
      </c>
      <c r="D116" s="24">
        <f>-D13</f>
        <v/>
      </c>
      <c r="E116" s="24">
        <f>-(D13-E13+F13)</f>
        <v/>
      </c>
    </row>
    <row r="117">
      <c r="A117" t="inlineStr">
        <is>
          <t xml:space="preserve">  Lease principal - vehicle &amp; equipment</t>
        </is>
      </c>
      <c r="B117" s="24">
        <f>-B14</f>
        <v/>
      </c>
      <c r="C117" s="24">
        <f>-C14</f>
        <v/>
      </c>
      <c r="D117" s="24">
        <f>-D14</f>
        <v/>
      </c>
      <c r="E117" s="24">
        <f>-(D14-E14+F14)</f>
        <v/>
      </c>
    </row>
    <row r="118">
      <c r="A118" t="inlineStr">
        <is>
          <t xml:space="preserve">  Lease interest - property</t>
        </is>
      </c>
      <c r="B118" s="24">
        <f>-B15</f>
        <v/>
      </c>
      <c r="C118" s="24">
        <f>-C15</f>
        <v/>
      </c>
      <c r="D118" s="24">
        <f>-D15</f>
        <v/>
      </c>
      <c r="E118" s="24">
        <f>-(D15-E15+F15)</f>
        <v/>
      </c>
    </row>
    <row r="119">
      <c r="A119" t="inlineStr">
        <is>
          <t xml:space="preserve">  Lease interest - vehicle &amp; equipment</t>
        </is>
      </c>
      <c r="B119" s="24">
        <f>-B16</f>
        <v/>
      </c>
      <c r="C119" s="24">
        <f>-C16</f>
        <v/>
      </c>
      <c r="D119" s="24">
        <f>-D16</f>
        <v/>
      </c>
      <c r="E119" s="24">
        <f>-(D16-E16+F16)</f>
        <v/>
      </c>
    </row>
    <row r="120">
      <c r="A120" t="inlineStr">
        <is>
          <t>(less) Cash lease payments (rent)</t>
        </is>
      </c>
      <c r="B120" s="24">
        <f>SUM(B116:B119)</f>
        <v/>
      </c>
      <c r="C120" s="24">
        <f>SUM(C116:C119)</f>
        <v/>
      </c>
      <c r="D120" s="24">
        <f>SUM(D116:D119)</f>
        <v/>
      </c>
      <c r="E120" s="24">
        <f>SUM(E116:E119)</f>
        <v/>
      </c>
      <c r="L120" s="10" t="inlineStr">
        <is>
          <t>Replaces IFRS 16 ROU depreciation + lease interest: rent is an operating cost for a leased shop network</t>
        </is>
      </c>
    </row>
    <row r="121">
      <c r="A121" s="20" t="inlineStr">
        <is>
          <t>EBITDA after rent</t>
        </is>
      </c>
      <c r="B121" s="25">
        <f>B114+B120</f>
        <v/>
      </c>
      <c r="C121" s="25">
        <f>C114+C120</f>
        <v/>
      </c>
      <c r="D121" s="25">
        <f>D114+D120</f>
        <v/>
      </c>
      <c r="E121" s="25">
        <f>E114+E120</f>
        <v/>
      </c>
    </row>
    <row r="122">
      <c r="A122" t="inlineStr">
        <is>
          <t>(less) Maintenance capex at assumed % of sales</t>
        </is>
      </c>
      <c r="B122" s="24">
        <f>-$B$28*B113</f>
        <v/>
      </c>
      <c r="C122" s="24">
        <f>-$B$28*C113</f>
        <v/>
      </c>
      <c r="D122" s="24">
        <f>-$B$28*D113</f>
        <v/>
      </c>
      <c r="E122" s="24">
        <f>-$B$28*E113</f>
        <v/>
      </c>
      <c r="L122" s="10" t="inlineStr">
        <is>
          <t>Replaces PP&amp;E depreciation</t>
        </is>
      </c>
    </row>
    <row r="123">
      <c r="A123" t="inlineStr">
        <is>
          <t>(less) Software &amp; licensing capex (actual)</t>
        </is>
      </c>
      <c r="B123" s="24">
        <f>-B18</f>
        <v/>
      </c>
      <c r="C123" s="24">
        <f>-C18</f>
        <v/>
      </c>
      <c r="D123" s="24">
        <f>-D18</f>
        <v/>
      </c>
      <c r="E123" s="24">
        <f>-(D18-E18+F18)</f>
        <v/>
      </c>
      <c r="L123" s="10" t="inlineStr">
        <is>
          <t>Replaces software amortization</t>
        </is>
      </c>
    </row>
    <row r="124">
      <c r="A124" t="inlineStr">
        <is>
          <t>(less) Normalized recurring acquisition cost</t>
        </is>
      </c>
      <c r="B124" s="24">
        <f>-$B$29</f>
        <v/>
      </c>
      <c r="C124" s="24">
        <f>-$B$29</f>
        <v/>
      </c>
      <c r="D124" s="24">
        <f>-$B$29</f>
        <v/>
      </c>
      <c r="E124" s="24">
        <f>-$B$29</f>
        <v/>
      </c>
      <c r="L124" s="10" t="inlineStr">
        <is>
          <t>Adj. EBITDA excludes all deal costs; a tuck-in acquirer incurs some every year</t>
        </is>
      </c>
    </row>
    <row r="125">
      <c r="A125" s="20" t="inlineStr">
        <is>
          <t>Pre-tax Owners' Earnings</t>
        </is>
      </c>
      <c r="B125" s="25">
        <f>B121+B122+B123+B124</f>
        <v/>
      </c>
      <c r="C125" s="25">
        <f>C121+C122+C123+C124</f>
        <v/>
      </c>
      <c r="D125" s="25">
        <f>D121+D122+D123+D124</f>
        <v/>
      </c>
      <c r="E125" s="25">
        <f>E121+E122+E123+E124</f>
        <v/>
      </c>
    </row>
    <row r="126">
      <c r="A126" t="inlineStr">
        <is>
          <t>(less) Normalized tax</t>
        </is>
      </c>
      <c r="B126" s="24">
        <f>-B125*$B$30</f>
        <v/>
      </c>
      <c r="C126" s="24">
        <f>-C125*$B$30</f>
        <v/>
      </c>
      <c r="D126" s="24">
        <f>-D125*$B$30</f>
        <v/>
      </c>
      <c r="E126" s="24">
        <f>-E125*$B$30</f>
        <v/>
      </c>
      <c r="L126" s="10" t="inlineStr">
        <is>
          <t>Statutory, not cash: the cash-tax shield comes from acquisition spending that OE excludes</t>
        </is>
      </c>
    </row>
    <row r="127">
      <c r="A127" s="20" t="inlineStr">
        <is>
          <t>Owners' Earnings</t>
        </is>
      </c>
      <c r="B127" s="25">
        <f>B125+B126</f>
        <v/>
      </c>
      <c r="C127" s="25">
        <f>C125+C126</f>
        <v/>
      </c>
      <c r="D127" s="25">
        <f>D125+D126</f>
        <v/>
      </c>
      <c r="E127" s="25">
        <f>E125+E126</f>
        <v/>
      </c>
      <c r="L127" s="10" t="inlineStr">
        <is>
          <t>Amortization of acquired intangibles excluded: no capex needed to maintain them</t>
        </is>
      </c>
    </row>
    <row r="128">
      <c r="A128" t="inlineStr">
        <is>
          <t xml:space="preserve">  Owners' Earnings margin</t>
        </is>
      </c>
      <c r="B128" s="26">
        <f>B127/B113</f>
        <v/>
      </c>
      <c r="C128" s="26">
        <f>C127/C113</f>
        <v/>
      </c>
      <c r="D128" s="26">
        <f>D127/D113</f>
        <v/>
      </c>
      <c r="E128" s="26">
        <f>E127/E113</f>
        <v/>
      </c>
    </row>
    <row r="129">
      <c r="A129" t="inlineStr">
        <is>
          <t xml:space="preserve">  Owners' Earnings as % of Adjusted EBITDA</t>
        </is>
      </c>
      <c r="B129" s="26">
        <f>B127/B114</f>
        <v/>
      </c>
      <c r="C129" s="26">
        <f>C127/C114</f>
        <v/>
      </c>
      <c r="D129" s="26">
        <f>D127/D114</f>
        <v/>
      </c>
      <c r="E129" s="26">
        <f>E127/E114</f>
        <v/>
      </c>
    </row>
    <row r="130">
      <c r="A130" t="inlineStr">
        <is>
          <t>Memo: actual equipment &amp; facility capex</t>
        </is>
      </c>
      <c r="B130" s="24">
        <f>B17</f>
        <v/>
      </c>
      <c r="C130" s="24">
        <f>C17</f>
        <v/>
      </c>
      <c r="D130" s="24">
        <f>D17</f>
        <v/>
      </c>
      <c r="E130" s="24">
        <f>(D17-E17+F17)</f>
        <v/>
      </c>
    </row>
    <row r="131">
      <c r="A131" t="inlineStr">
        <is>
          <t>Memo: actual equipment capex, % of sales</t>
        </is>
      </c>
      <c r="B131" s="27">
        <f>B130/B113</f>
        <v/>
      </c>
      <c r="C131" s="27">
        <f>C130/C113</f>
        <v/>
      </c>
      <c r="D131" s="27">
        <f>D130/D113</f>
        <v/>
      </c>
      <c r="E131" s="27">
        <f>E130/E113</f>
        <v/>
      </c>
      <c r="L131" s="10" t="inlineStr">
        <is>
          <t>Compare with the maintenance-capex assumption in 1.2</t>
        </is>
      </c>
    </row>
    <row r="132">
      <c r="A132" t="inlineStr">
        <is>
          <t>Memo: actual acquisition &amp; transformational costs</t>
        </is>
      </c>
      <c r="B132" s="24">
        <f>B20</f>
        <v/>
      </c>
      <c r="C132" s="24">
        <f>C20</f>
        <v/>
      </c>
      <c r="D132" s="24">
        <f>D20</f>
        <v/>
      </c>
      <c r="E132" s="24">
        <f>(D20-E20+F20)</f>
        <v/>
      </c>
    </row>
    <row r="133">
      <c r="A133" t="inlineStr">
        <is>
          <t>Memo: income taxes actually paid</t>
        </is>
      </c>
      <c r="B133" s="24">
        <f>B19</f>
        <v/>
      </c>
      <c r="C133" s="24">
        <f>C19</f>
        <v/>
      </c>
      <c r="D133" s="24">
        <f>D19</f>
        <v/>
      </c>
      <c r="E133" s="24">
        <f>(D19-E19+F19)</f>
        <v/>
      </c>
    </row>
    <row r="134">
      <c r="A134" t="inlineStr">
        <is>
          <t>Memo: OE if actual cash tax replaced normalized tax</t>
        </is>
      </c>
      <c r="B134" s="24">
        <f>B125-B133</f>
        <v/>
      </c>
      <c r="C134" s="24">
        <f>C125-C133</f>
        <v/>
      </c>
      <c r="D134" s="24">
        <f>D125-D133</f>
        <v/>
      </c>
      <c r="E134" s="24">
        <f>E125-E133</f>
        <v/>
      </c>
      <c r="L134" s="10" t="inlineStr">
        <is>
          <t>Sensitivity only (owners_earnings_roic.py sec 12)</t>
        </is>
      </c>
    </row>
    <row r="136">
      <c r="A136" s="7" t="inlineStr">
        <is>
          <t>2b. Cross-check: reported cash flow from operations to normalized Owners' Earnings</t>
        </is>
      </c>
      <c r="B136" s="8" t="inlineStr">
        <is>
          <t>FY2023</t>
        </is>
      </c>
      <c r="C136" s="8" t="inlineStr">
        <is>
          <t>FY2024</t>
        </is>
      </c>
      <c r="D136" s="8" t="inlineStr">
        <is>
          <t>FY2025</t>
        </is>
      </c>
      <c r="E136" s="8" t="inlineStr">
        <is>
          <t>TTM Jun-26</t>
        </is>
      </c>
      <c r="F136" s="7" t="n"/>
      <c r="G136" s="7" t="n"/>
      <c r="H136" s="7" t="n"/>
      <c r="I136" s="7" t="n"/>
      <c r="J136" s="7" t="n"/>
      <c r="K136" s="7" t="n"/>
      <c r="L136" s="7" t="inlineStr">
        <is>
          <t>Source / explanation</t>
        </is>
      </c>
    </row>
    <row r="137">
      <c r="A137" t="inlineStr">
        <is>
          <t>Cash flow from operations (reported)</t>
        </is>
      </c>
      <c r="B137" s="24">
        <f>B21</f>
        <v/>
      </c>
      <c r="C137" s="24">
        <f>C21</f>
        <v/>
      </c>
      <c r="D137" s="24">
        <f>D21</f>
        <v/>
      </c>
      <c r="E137" s="24">
        <f>(D21-E21+F21)</f>
        <v/>
      </c>
    </row>
    <row r="138">
      <c r="A138" t="inlineStr">
        <is>
          <t>(less) Cash lease payments (actual)</t>
        </is>
      </c>
      <c r="B138" s="24">
        <f>B120</f>
        <v/>
      </c>
      <c r="C138" s="24">
        <f>C120</f>
        <v/>
      </c>
      <c r="D138" s="24">
        <f>D120</f>
        <v/>
      </c>
      <c r="E138" s="24">
        <f>E120</f>
        <v/>
      </c>
    </row>
    <row r="139">
      <c r="A139" t="inlineStr">
        <is>
          <t>(less) Equipment purchases &amp; facility improvements (actual)</t>
        </is>
      </c>
      <c r="B139" s="24">
        <f>-B17</f>
        <v/>
      </c>
      <c r="C139" s="24">
        <f>-C17</f>
        <v/>
      </c>
      <c r="D139" s="24">
        <f>-D17</f>
        <v/>
      </c>
      <c r="E139" s="24">
        <f>-(D17-E17+F17)</f>
        <v/>
      </c>
    </row>
    <row r="140">
      <c r="A140" t="inlineStr">
        <is>
          <t>(less) Software purchases and licensing (actual)</t>
        </is>
      </c>
      <c r="B140" s="24">
        <f>-B18</f>
        <v/>
      </c>
      <c r="C140" s="24">
        <f>-C18</f>
        <v/>
      </c>
      <c r="D140" s="24">
        <f>-D18</f>
        <v/>
      </c>
      <c r="E140" s="24">
        <f>-(D18-E18+F18)</f>
        <v/>
      </c>
    </row>
    <row r="141">
      <c r="A141" s="20" t="inlineStr">
        <is>
          <t>Cash flow after rent and actual capex</t>
        </is>
      </c>
      <c r="B141" s="25">
        <f>SUM(B137:B140)</f>
        <v/>
      </c>
      <c r="C141" s="25">
        <f>SUM(C137:C140)</f>
        <v/>
      </c>
      <c r="D141" s="25">
        <f>SUM(D137:D140)</f>
        <v/>
      </c>
      <c r="E141" s="25">
        <f>SUM(E137:E140)</f>
        <v/>
      </c>
    </row>
    <row r="142">
      <c r="A142" t="inlineStr">
        <is>
          <t>(less) Working capital swing (OE normalizes to nil)</t>
        </is>
      </c>
      <c r="B142" s="24">
        <f>-B22</f>
        <v/>
      </c>
      <c r="C142" s="24">
        <f>-C22</f>
        <v/>
      </c>
      <c r="D142" s="24">
        <f>-D22</f>
        <v/>
      </c>
      <c r="E142" s="24">
        <f>-(D22-E22+F22)</f>
        <v/>
      </c>
    </row>
    <row r="143">
      <c r="A143" t="inlineStr">
        <is>
          <t>(less) Equity-settled SBC added back in CFO</t>
        </is>
      </c>
      <c r="B143" s="24">
        <f>-B23</f>
        <v/>
      </c>
      <c r="C143" s="24">
        <f>-C23</f>
        <v/>
      </c>
      <c r="D143" s="24">
        <f>-D23</f>
        <v/>
      </c>
      <c r="E143" s="24">
        <f>-(D23-E23+F23)</f>
        <v/>
      </c>
    </row>
    <row r="144">
      <c r="A144" t="inlineStr">
        <is>
          <t>(less) Other non-cash items added back in CFO</t>
        </is>
      </c>
      <c r="B144" s="24">
        <f>-B24</f>
        <v/>
      </c>
      <c r="C144" s="24">
        <f>-C24</f>
        <v/>
      </c>
      <c r="D144" s="24">
        <f>-D24</f>
        <v/>
      </c>
      <c r="E144" s="24">
        <f>-(D24-E24+F24)</f>
        <v/>
      </c>
    </row>
    <row r="145">
      <c r="A145" t="inlineStr">
        <is>
          <t>(plus) Actual acquisition &amp; transformational costs</t>
        </is>
      </c>
      <c r="B145" s="24">
        <f>B20</f>
        <v/>
      </c>
      <c r="C145" s="24">
        <f>C20</f>
        <v/>
      </c>
      <c r="D145" s="24">
        <f>D20</f>
        <v/>
      </c>
      <c r="E145" s="24">
        <f>(D20-E20+F20)</f>
        <v/>
      </c>
    </row>
    <row r="146">
      <c r="A146" t="inlineStr">
        <is>
          <t>(less) Normalized recurring acquisition cost</t>
        </is>
      </c>
      <c r="B146" s="24">
        <f>B124</f>
        <v/>
      </c>
      <c r="C146" s="24">
        <f>C124</f>
        <v/>
      </c>
      <c r="D146" s="24">
        <f>D124</f>
        <v/>
      </c>
      <c r="E146" s="24">
        <f>E124</f>
        <v/>
      </c>
    </row>
    <row r="147">
      <c r="A147" t="inlineStr">
        <is>
          <t>(plus) Capex: actual less assumed maintenance</t>
        </is>
      </c>
      <c r="B147" s="24">
        <f>B130+B122</f>
        <v/>
      </c>
      <c r="C147" s="24">
        <f>C130+C122</f>
        <v/>
      </c>
      <c r="D147" s="24">
        <f>D130+D122</f>
        <v/>
      </c>
      <c r="E147" s="24">
        <f>E130+E122</f>
        <v/>
      </c>
    </row>
    <row r="148">
      <c r="A148" t="inlineStr">
        <is>
          <t>(plus) Current income tax expense added back</t>
        </is>
      </c>
      <c r="B148" s="24">
        <f>B25</f>
        <v/>
      </c>
      <c r="C148" s="24">
        <f>C25</f>
        <v/>
      </c>
      <c r="D148" s="24">
        <f>D25</f>
        <v/>
      </c>
      <c r="E148" s="24">
        <f>(D25-E25+F25)</f>
        <v/>
      </c>
      <c r="L148" s="10" t="inlineStr">
        <is>
          <t>Current expense, not cash paid: the WC line already carries the taxes-payable movement</t>
        </is>
      </c>
    </row>
    <row r="149">
      <c r="A149" t="inlineStr">
        <is>
          <t>(less) Normalized income tax</t>
        </is>
      </c>
      <c r="B149" s="24">
        <f>B126</f>
        <v/>
      </c>
      <c r="C149" s="24">
        <f>C126</f>
        <v/>
      </c>
      <c r="D149" s="24">
        <f>D126</f>
        <v/>
      </c>
      <c r="E149" s="24">
        <f>E126</f>
        <v/>
      </c>
    </row>
    <row r="150">
      <c r="A150" s="20" t="inlineStr">
        <is>
          <t>Owners' Earnings (via cash flow)</t>
        </is>
      </c>
      <c r="B150" s="25">
        <f>B141+SUM(B142:B149)</f>
        <v/>
      </c>
      <c r="C150" s="25">
        <f>C141+SUM(C142:C149)</f>
        <v/>
      </c>
      <c r="D150" s="25">
        <f>D141+SUM(D142:D149)</f>
        <v/>
      </c>
      <c r="E150" s="25">
        <f>E141+SUM(E142:E149)</f>
        <v/>
      </c>
    </row>
    <row r="151">
      <c r="A151" t="inlineStr">
        <is>
          <t>Check: difference vs section 2 (must be nil)</t>
        </is>
      </c>
      <c r="B151" s="24">
        <f>B150-B127</f>
        <v/>
      </c>
      <c r="C151" s="24">
        <f>C150-C127</f>
        <v/>
      </c>
      <c r="D151" s="24">
        <f>D150-D127</f>
        <v/>
      </c>
      <c r="E151" s="24">
        <f>E150-E127</f>
        <v/>
      </c>
    </row>
    <row r="153">
      <c r="A153" s="7" t="inlineStr">
        <is>
          <t>3. Owners' Earnings - historical and forecast side by side</t>
        </is>
      </c>
      <c r="B153" s="8" t="inlineStr">
        <is>
          <t>FY2023</t>
        </is>
      </c>
      <c r="C153" s="8" t="inlineStr">
        <is>
          <t>FY2024</t>
        </is>
      </c>
      <c r="D153" s="8" t="inlineStr">
        <is>
          <t>FY2025</t>
        </is>
      </c>
      <c r="E153" s="8" t="inlineStr">
        <is>
          <t>TTM Jun-26</t>
        </is>
      </c>
      <c r="F153" s="8" t="inlineStr">
        <is>
          <t>2026E</t>
        </is>
      </c>
      <c r="G153" s="8" t="inlineStr">
        <is>
          <t>2027E</t>
        </is>
      </c>
      <c r="H153" s="8" t="inlineStr">
        <is>
          <t>2028E</t>
        </is>
      </c>
      <c r="I153" s="8" t="inlineStr">
        <is>
          <t>2029E</t>
        </is>
      </c>
      <c r="J153" s="8" t="inlineStr">
        <is>
          <t>2030E</t>
        </is>
      </c>
      <c r="K153" s="8" t="inlineStr">
        <is>
          <t>2031E</t>
        </is>
      </c>
      <c r="L153" s="7" t="inlineStr">
        <is>
          <t>Source / explanation</t>
        </is>
      </c>
    </row>
    <row r="154">
      <c r="A154" s="2" t="inlineStr">
        <is>
          <t>Historical columns link to section 2; forecast columns link to the section 4 workings for each case.</t>
        </is>
      </c>
    </row>
    <row r="155">
      <c r="A155" s="20" t="inlineStr">
        <is>
          <t>Bear</t>
        </is>
      </c>
    </row>
    <row r="156">
      <c r="A156" t="inlineStr">
        <is>
          <t>Sales</t>
        </is>
      </c>
      <c r="B156" s="24">
        <f>B113</f>
        <v/>
      </c>
      <c r="C156" s="24">
        <f>C113</f>
        <v/>
      </c>
      <c r="D156" s="24">
        <f>D113</f>
        <v/>
      </c>
      <c r="E156" s="24">
        <f>E113</f>
        <v/>
      </c>
      <c r="F156" s="24">
        <f>F322</f>
        <v/>
      </c>
      <c r="G156" s="24">
        <f>G322</f>
        <v/>
      </c>
      <c r="H156" s="24">
        <f>H322</f>
        <v/>
      </c>
      <c r="I156" s="24">
        <f>I322</f>
        <v/>
      </c>
      <c r="J156" s="24">
        <f>J322</f>
        <v/>
      </c>
      <c r="K156" s="24">
        <f>K322</f>
        <v/>
      </c>
    </row>
    <row r="157">
      <c r="A157" t="inlineStr">
        <is>
          <t xml:space="preserve">  growth (FY2026E vs FY2025)</t>
        </is>
      </c>
      <c r="C157" s="26">
        <f>C156/B156-1</f>
        <v/>
      </c>
      <c r="D157" s="26">
        <f>D156/C156-1</f>
        <v/>
      </c>
      <c r="F157" s="26">
        <f>F156/D156-1</f>
        <v/>
      </c>
      <c r="G157" s="26">
        <f>G156/F156-1</f>
        <v/>
      </c>
      <c r="H157" s="26">
        <f>H156/G156-1</f>
        <v/>
      </c>
      <c r="I157" s="26">
        <f>I156/H156-1</f>
        <v/>
      </c>
      <c r="J157" s="26">
        <f>J156/I156-1</f>
        <v/>
      </c>
      <c r="K157" s="26">
        <f>K156/J156-1</f>
        <v/>
      </c>
    </row>
    <row r="158">
      <c r="A158" t="inlineStr">
        <is>
          <t>Adjusted EBITDA</t>
        </is>
      </c>
      <c r="B158" s="24">
        <f>B114</f>
        <v/>
      </c>
      <c r="C158" s="24">
        <f>C114</f>
        <v/>
      </c>
      <c r="D158" s="24">
        <f>D114</f>
        <v/>
      </c>
      <c r="E158" s="24">
        <f>E114</f>
        <v/>
      </c>
      <c r="F158" s="24">
        <f>F323</f>
        <v/>
      </c>
      <c r="G158" s="24">
        <f>G323</f>
        <v/>
      </c>
      <c r="H158" s="24">
        <f>H323</f>
        <v/>
      </c>
      <c r="I158" s="24">
        <f>I323</f>
        <v/>
      </c>
      <c r="J158" s="24">
        <f>J323</f>
        <v/>
      </c>
      <c r="K158" s="24">
        <f>K323</f>
        <v/>
      </c>
    </row>
    <row r="159">
      <c r="A159" t="inlineStr">
        <is>
          <t xml:space="preserve">  margin</t>
        </is>
      </c>
      <c r="B159" s="26">
        <f>B158/B156</f>
        <v/>
      </c>
      <c r="C159" s="26">
        <f>C158/C156</f>
        <v/>
      </c>
      <c r="D159" s="26">
        <f>D158/D156</f>
        <v/>
      </c>
      <c r="E159" s="26">
        <f>E158/E156</f>
        <v/>
      </c>
      <c r="F159" s="26">
        <f>F158/F156</f>
        <v/>
      </c>
      <c r="G159" s="26">
        <f>G158/G156</f>
        <v/>
      </c>
      <c r="H159" s="26">
        <f>H158/H156</f>
        <v/>
      </c>
      <c r="I159" s="26">
        <f>I158/I156</f>
        <v/>
      </c>
      <c r="J159" s="26">
        <f>J158/J156</f>
        <v/>
      </c>
      <c r="K159" s="26">
        <f>K158/K156</f>
        <v/>
      </c>
    </row>
    <row r="160">
      <c r="A160" t="inlineStr">
        <is>
          <t>(less) Cash rent</t>
        </is>
      </c>
      <c r="B160" s="24">
        <f>B120</f>
        <v/>
      </c>
      <c r="C160" s="24">
        <f>C120</f>
        <v/>
      </c>
      <c r="D160" s="24">
        <f>D120</f>
        <v/>
      </c>
      <c r="E160" s="24">
        <f>E120</f>
        <v/>
      </c>
      <c r="F160" s="24">
        <f>-(F263+F321)</f>
        <v/>
      </c>
      <c r="G160" s="24">
        <f>-(G263+G321)</f>
        <v/>
      </c>
      <c r="H160" s="24">
        <f>-(H263+H321)</f>
        <v/>
      </c>
      <c r="I160" s="24">
        <f>-(I263+I321)</f>
        <v/>
      </c>
      <c r="J160" s="24">
        <f>-(J263+J321)</f>
        <v/>
      </c>
      <c r="K160" s="24">
        <f>-(K263+K321)</f>
        <v/>
      </c>
    </row>
    <row r="161">
      <c r="A161" s="20" t="inlineStr">
        <is>
          <t>EBITDA after rent</t>
        </is>
      </c>
      <c r="B161" s="25">
        <f>B121</f>
        <v/>
      </c>
      <c r="C161" s="25">
        <f>C121</f>
        <v/>
      </c>
      <c r="D161" s="25">
        <f>D121</f>
        <v/>
      </c>
      <c r="E161" s="25">
        <f>E121</f>
        <v/>
      </c>
      <c r="F161" s="25">
        <f>F324</f>
        <v/>
      </c>
      <c r="G161" s="25">
        <f>G324</f>
        <v/>
      </c>
      <c r="H161" s="25">
        <f>H324</f>
        <v/>
      </c>
      <c r="I161" s="25">
        <f>I324</f>
        <v/>
      </c>
      <c r="J161" s="25">
        <f>J324</f>
        <v/>
      </c>
      <c r="K161" s="25">
        <f>K324</f>
        <v/>
      </c>
    </row>
    <row r="162">
      <c r="A162" t="inlineStr">
        <is>
          <t>(less) Maintenance capex</t>
        </is>
      </c>
      <c r="B162" s="24">
        <f>B122</f>
        <v/>
      </c>
      <c r="C162" s="24">
        <f>C122</f>
        <v/>
      </c>
      <c r="D162" s="24">
        <f>D122</f>
        <v/>
      </c>
      <c r="E162" s="24">
        <f>E122</f>
        <v/>
      </c>
      <c r="F162" s="24">
        <f>-F325</f>
        <v/>
      </c>
      <c r="G162" s="24">
        <f>-G325</f>
        <v/>
      </c>
      <c r="H162" s="24">
        <f>-H325</f>
        <v/>
      </c>
      <c r="I162" s="24">
        <f>-I325</f>
        <v/>
      </c>
      <c r="J162" s="24">
        <f>-J325</f>
        <v/>
      </c>
      <c r="K162" s="24">
        <f>-K325</f>
        <v/>
      </c>
    </row>
    <row r="163">
      <c r="A163" t="inlineStr">
        <is>
          <t>(less) Software capex</t>
        </is>
      </c>
      <c r="B163" s="24">
        <f>B123</f>
        <v/>
      </c>
      <c r="C163" s="24">
        <f>C123</f>
        <v/>
      </c>
      <c r="D163" s="24">
        <f>D123</f>
        <v/>
      </c>
      <c r="E163" s="24">
        <f>E123</f>
        <v/>
      </c>
      <c r="F163" s="24">
        <f>-F326</f>
        <v/>
      </c>
      <c r="G163" s="24">
        <f>-G326</f>
        <v/>
      </c>
      <c r="H163" s="24">
        <f>-H326</f>
        <v/>
      </c>
      <c r="I163" s="24">
        <f>-I326</f>
        <v/>
      </c>
      <c r="J163" s="24">
        <f>-J326</f>
        <v/>
      </c>
      <c r="K163" s="24">
        <f>-K326</f>
        <v/>
      </c>
    </row>
    <row r="164">
      <c r="A164" t="inlineStr">
        <is>
          <t>(less) Normalized acquisition cost</t>
        </is>
      </c>
      <c r="B164" s="24">
        <f>B124</f>
        <v/>
      </c>
      <c r="C164" s="24">
        <f>C124</f>
        <v/>
      </c>
      <c r="D164" s="24">
        <f>D124</f>
        <v/>
      </c>
      <c r="E164" s="24">
        <f>E124</f>
        <v/>
      </c>
      <c r="F164" s="24">
        <f>-F327</f>
        <v/>
      </c>
      <c r="G164" s="24">
        <f>-G327</f>
        <v/>
      </c>
      <c r="H164" s="24">
        <f>-H327</f>
        <v/>
      </c>
      <c r="I164" s="24">
        <f>-I327</f>
        <v/>
      </c>
      <c r="J164" s="24">
        <f>-J327</f>
        <v/>
      </c>
      <c r="K164" s="24">
        <f>-K327</f>
        <v/>
      </c>
    </row>
    <row r="165">
      <c r="A165" t="inlineStr">
        <is>
          <t>Pre-tax Owners' Earnings</t>
        </is>
      </c>
      <c r="B165" s="24">
        <f>B125</f>
        <v/>
      </c>
      <c r="C165" s="24">
        <f>C125</f>
        <v/>
      </c>
      <c r="D165" s="24">
        <f>D125</f>
        <v/>
      </c>
      <c r="E165" s="24">
        <f>E125</f>
        <v/>
      </c>
      <c r="F165" s="24">
        <f>F328</f>
        <v/>
      </c>
      <c r="G165" s="24">
        <f>G328</f>
        <v/>
      </c>
      <c r="H165" s="24">
        <f>H328</f>
        <v/>
      </c>
      <c r="I165" s="24">
        <f>I328</f>
        <v/>
      </c>
      <c r="J165" s="24">
        <f>J328</f>
        <v/>
      </c>
      <c r="K165" s="24">
        <f>K328</f>
        <v/>
      </c>
    </row>
    <row r="166">
      <c r="A166" t="inlineStr">
        <is>
          <t>(less) Tax at normalized rate</t>
        </is>
      </c>
      <c r="B166" s="24">
        <f>B126</f>
        <v/>
      </c>
      <c r="C166" s="24">
        <f>C126</f>
        <v/>
      </c>
      <c r="D166" s="24">
        <f>D126</f>
        <v/>
      </c>
      <c r="E166" s="24">
        <f>E126</f>
        <v/>
      </c>
      <c r="F166" s="24">
        <f>F329-F328</f>
        <v/>
      </c>
      <c r="G166" s="24">
        <f>G329-G328</f>
        <v/>
      </c>
      <c r="H166" s="24">
        <f>H329-H328</f>
        <v/>
      </c>
      <c r="I166" s="24">
        <f>I329-I328</f>
        <v/>
      </c>
      <c r="J166" s="24">
        <f>J329-J328</f>
        <v/>
      </c>
      <c r="K166" s="24">
        <f>K329-K328</f>
        <v/>
      </c>
    </row>
    <row r="167">
      <c r="A167" s="20" t="inlineStr">
        <is>
          <t>Owners' Earnings</t>
        </is>
      </c>
      <c r="B167" s="25">
        <f>B127</f>
        <v/>
      </c>
      <c r="C167" s="25">
        <f>C127</f>
        <v/>
      </c>
      <c r="D167" s="25">
        <f>D127</f>
        <v/>
      </c>
      <c r="E167" s="25">
        <f>E127</f>
        <v/>
      </c>
      <c r="F167" s="25">
        <f>F329</f>
        <v/>
      </c>
      <c r="G167" s="25">
        <f>G329</f>
        <v/>
      </c>
      <c r="H167" s="25">
        <f>H329</f>
        <v/>
      </c>
      <c r="I167" s="25">
        <f>I329</f>
        <v/>
      </c>
      <c r="J167" s="25">
        <f>J329</f>
        <v/>
      </c>
      <c r="K167" s="25">
        <f>K329</f>
        <v/>
      </c>
    </row>
    <row r="168">
      <c r="A168" t="inlineStr">
        <is>
          <t xml:space="preserve">  OE margin</t>
        </is>
      </c>
      <c r="B168" s="26">
        <f>B167/B156</f>
        <v/>
      </c>
      <c r="C168" s="26">
        <f>C167/C156</f>
        <v/>
      </c>
      <c r="D168" s="26">
        <f>D167/D156</f>
        <v/>
      </c>
      <c r="E168" s="26">
        <f>E167/E156</f>
        <v/>
      </c>
      <c r="F168" s="26">
        <f>F167/F156</f>
        <v/>
      </c>
      <c r="G168" s="26">
        <f>G167/G156</f>
        <v/>
      </c>
      <c r="H168" s="26">
        <f>H167/H156</f>
        <v/>
      </c>
      <c r="I168" s="26">
        <f>I167/I156</f>
        <v/>
      </c>
      <c r="J168" s="26">
        <f>J167/J156</f>
        <v/>
      </c>
      <c r="K168" s="26">
        <f>K167/K156</f>
        <v/>
      </c>
    </row>
    <row r="169">
      <c r="A169" t="inlineStr">
        <is>
          <t xml:space="preserve">  OE growth (FY2026E vs FY2025)</t>
        </is>
      </c>
      <c r="C169" s="26">
        <f>C167/B167-1</f>
        <v/>
      </c>
      <c r="D169" s="26">
        <f>D167/C167-1</f>
        <v/>
      </c>
      <c r="F169" s="26">
        <f>F167/D167-1</f>
        <v/>
      </c>
      <c r="G169" s="26">
        <f>G167/F167-1</f>
        <v/>
      </c>
      <c r="H169" s="26">
        <f>H167/G167-1</f>
        <v/>
      </c>
      <c r="I169" s="26">
        <f>I167/H167-1</f>
        <v/>
      </c>
      <c r="J169" s="26">
        <f>J167/I167-1</f>
        <v/>
      </c>
      <c r="K169" s="26">
        <f>K167/J167-1</f>
        <v/>
      </c>
    </row>
    <row r="170">
      <c r="A170" t="inlineStr">
        <is>
          <t xml:space="preserve">  of which new locations (opened 2026+)</t>
        </is>
      </c>
      <c r="F170" s="24">
        <f>F332</f>
        <v/>
      </c>
      <c r="G170" s="24">
        <f>G332</f>
        <v/>
      </c>
      <c r="H170" s="24">
        <f>H332</f>
        <v/>
      </c>
      <c r="I170" s="24">
        <f>I332</f>
        <v/>
      </c>
      <c r="J170" s="24">
        <f>J332</f>
        <v/>
      </c>
      <c r="K170" s="24">
        <f>K332</f>
        <v/>
      </c>
    </row>
    <row r="171">
      <c r="A171" t="inlineStr">
        <is>
          <t>(less) Growth capex</t>
        </is>
      </c>
      <c r="F171" s="24">
        <f>-F316</f>
        <v/>
      </c>
      <c r="G171" s="24">
        <f>-G316</f>
        <v/>
      </c>
      <c r="H171" s="24">
        <f>-H316</f>
        <v/>
      </c>
      <c r="I171" s="24">
        <f>-I316</f>
        <v/>
      </c>
      <c r="J171" s="24">
        <f>-J316</f>
        <v/>
      </c>
      <c r="K171" s="24">
        <f>-K316</f>
        <v/>
      </c>
    </row>
    <row r="172">
      <c r="A172" t="inlineStr">
        <is>
          <t>(less) One-off integration costs, after tax</t>
        </is>
      </c>
      <c r="F172" s="24">
        <f>-F335</f>
        <v/>
      </c>
      <c r="G172" s="24">
        <f>-G335</f>
        <v/>
      </c>
      <c r="H172" s="24">
        <f>-H335</f>
        <v/>
      </c>
      <c r="I172" s="24">
        <f>-I335</f>
        <v/>
      </c>
      <c r="J172" s="24">
        <f>-J335</f>
        <v/>
      </c>
      <c r="K172" s="24">
        <f>-K335</f>
        <v/>
      </c>
    </row>
    <row r="173">
      <c r="A173" s="20" t="inlineStr">
        <is>
          <t>Distributable cash</t>
        </is>
      </c>
      <c r="F173" s="25">
        <f>F336</f>
        <v/>
      </c>
      <c r="G173" s="25">
        <f>G336</f>
        <v/>
      </c>
      <c r="H173" s="25">
        <f>H336</f>
        <v/>
      </c>
      <c r="I173" s="25">
        <f>I336</f>
        <v/>
      </c>
      <c r="J173" s="25">
        <f>J336</f>
        <v/>
      </c>
      <c r="K173" s="25">
        <f>K336</f>
        <v/>
      </c>
    </row>
    <row r="174">
      <c r="A174" t="inlineStr">
        <is>
          <t>Net debt ex-leases, period end (Jun-2026 in TTM column)</t>
        </is>
      </c>
      <c r="E174" s="24">
        <f>E338</f>
        <v/>
      </c>
      <c r="F174" s="24">
        <f>F338</f>
        <v/>
      </c>
      <c r="G174" s="24">
        <f>G338</f>
        <v/>
      </c>
      <c r="H174" s="24">
        <f>H338</f>
        <v/>
      </c>
      <c r="I174" s="24">
        <f>I338</f>
        <v/>
      </c>
      <c r="J174" s="24">
        <f>J338</f>
        <v/>
      </c>
      <c r="K174" s="24">
        <f>K338</f>
        <v/>
      </c>
    </row>
    <row r="176">
      <c r="A176" s="20" t="inlineStr">
        <is>
          <t>Base</t>
        </is>
      </c>
    </row>
    <row r="177">
      <c r="A177" t="inlineStr">
        <is>
          <t>Sales</t>
        </is>
      </c>
      <c r="B177" s="24">
        <f>B113</f>
        <v/>
      </c>
      <c r="C177" s="24">
        <f>C113</f>
        <v/>
      </c>
      <c r="D177" s="24">
        <f>D113</f>
        <v/>
      </c>
      <c r="E177" s="24">
        <f>E113</f>
        <v/>
      </c>
      <c r="F177" s="24">
        <f>F416</f>
        <v/>
      </c>
      <c r="G177" s="24">
        <f>G416</f>
        <v/>
      </c>
      <c r="H177" s="24">
        <f>H416</f>
        <v/>
      </c>
      <c r="I177" s="24">
        <f>I416</f>
        <v/>
      </c>
      <c r="J177" s="24">
        <f>J416</f>
        <v/>
      </c>
      <c r="K177" s="24">
        <f>K416</f>
        <v/>
      </c>
    </row>
    <row r="178">
      <c r="A178" t="inlineStr">
        <is>
          <t xml:space="preserve">  growth (FY2026E vs FY2025)</t>
        </is>
      </c>
      <c r="C178" s="26">
        <f>C177/B177-1</f>
        <v/>
      </c>
      <c r="D178" s="26">
        <f>D177/C177-1</f>
        <v/>
      </c>
      <c r="F178" s="26">
        <f>F177/D177-1</f>
        <v/>
      </c>
      <c r="G178" s="26">
        <f>G177/F177-1</f>
        <v/>
      </c>
      <c r="H178" s="26">
        <f>H177/G177-1</f>
        <v/>
      </c>
      <c r="I178" s="26">
        <f>I177/H177-1</f>
        <v/>
      </c>
      <c r="J178" s="26">
        <f>J177/I177-1</f>
        <v/>
      </c>
      <c r="K178" s="26">
        <f>K177/J177-1</f>
        <v/>
      </c>
    </row>
    <row r="179">
      <c r="A179" t="inlineStr">
        <is>
          <t>Adjusted EBITDA</t>
        </is>
      </c>
      <c r="B179" s="24">
        <f>B114</f>
        <v/>
      </c>
      <c r="C179" s="24">
        <f>C114</f>
        <v/>
      </c>
      <c r="D179" s="24">
        <f>D114</f>
        <v/>
      </c>
      <c r="E179" s="24">
        <f>E114</f>
        <v/>
      </c>
      <c r="F179" s="24">
        <f>F417</f>
        <v/>
      </c>
      <c r="G179" s="24">
        <f>G417</f>
        <v/>
      </c>
      <c r="H179" s="24">
        <f>H417</f>
        <v/>
      </c>
      <c r="I179" s="24">
        <f>I417</f>
        <v/>
      </c>
      <c r="J179" s="24">
        <f>J417</f>
        <v/>
      </c>
      <c r="K179" s="24">
        <f>K417</f>
        <v/>
      </c>
    </row>
    <row r="180">
      <c r="A180" t="inlineStr">
        <is>
          <t xml:space="preserve">  margin</t>
        </is>
      </c>
      <c r="B180" s="26">
        <f>B179/B177</f>
        <v/>
      </c>
      <c r="C180" s="26">
        <f>C179/C177</f>
        <v/>
      </c>
      <c r="D180" s="26">
        <f>D179/D177</f>
        <v/>
      </c>
      <c r="E180" s="26">
        <f>E179/E177</f>
        <v/>
      </c>
      <c r="F180" s="26">
        <f>F179/F177</f>
        <v/>
      </c>
      <c r="G180" s="26">
        <f>G179/G177</f>
        <v/>
      </c>
      <c r="H180" s="26">
        <f>H179/H177</f>
        <v/>
      </c>
      <c r="I180" s="26">
        <f>I179/I177</f>
        <v/>
      </c>
      <c r="J180" s="26">
        <f>J179/J177</f>
        <v/>
      </c>
      <c r="K180" s="26">
        <f>K179/K177</f>
        <v/>
      </c>
    </row>
    <row r="181">
      <c r="A181" t="inlineStr">
        <is>
          <t>(less) Cash rent</t>
        </is>
      </c>
      <c r="B181" s="24">
        <f>B120</f>
        <v/>
      </c>
      <c r="C181" s="24">
        <f>C120</f>
        <v/>
      </c>
      <c r="D181" s="24">
        <f>D120</f>
        <v/>
      </c>
      <c r="E181" s="24">
        <f>E120</f>
        <v/>
      </c>
      <c r="F181" s="24">
        <f>-(F357+F415)</f>
        <v/>
      </c>
      <c r="G181" s="24">
        <f>-(G357+G415)</f>
        <v/>
      </c>
      <c r="H181" s="24">
        <f>-(H357+H415)</f>
        <v/>
      </c>
      <c r="I181" s="24">
        <f>-(I357+I415)</f>
        <v/>
      </c>
      <c r="J181" s="24">
        <f>-(J357+J415)</f>
        <v/>
      </c>
      <c r="K181" s="24">
        <f>-(K357+K415)</f>
        <v/>
      </c>
    </row>
    <row r="182">
      <c r="A182" s="20" t="inlineStr">
        <is>
          <t>EBITDA after rent</t>
        </is>
      </c>
      <c r="B182" s="25">
        <f>B121</f>
        <v/>
      </c>
      <c r="C182" s="25">
        <f>C121</f>
        <v/>
      </c>
      <c r="D182" s="25">
        <f>D121</f>
        <v/>
      </c>
      <c r="E182" s="25">
        <f>E121</f>
        <v/>
      </c>
      <c r="F182" s="25">
        <f>F418</f>
        <v/>
      </c>
      <c r="G182" s="25">
        <f>G418</f>
        <v/>
      </c>
      <c r="H182" s="25">
        <f>H418</f>
        <v/>
      </c>
      <c r="I182" s="25">
        <f>I418</f>
        <v/>
      </c>
      <c r="J182" s="25">
        <f>J418</f>
        <v/>
      </c>
      <c r="K182" s="25">
        <f>K418</f>
        <v/>
      </c>
    </row>
    <row r="183">
      <c r="A183" t="inlineStr">
        <is>
          <t>(less) Maintenance capex</t>
        </is>
      </c>
      <c r="B183" s="24">
        <f>B122</f>
        <v/>
      </c>
      <c r="C183" s="24">
        <f>C122</f>
        <v/>
      </c>
      <c r="D183" s="24">
        <f>D122</f>
        <v/>
      </c>
      <c r="E183" s="24">
        <f>E122</f>
        <v/>
      </c>
      <c r="F183" s="24">
        <f>-F419</f>
        <v/>
      </c>
      <c r="G183" s="24">
        <f>-G419</f>
        <v/>
      </c>
      <c r="H183" s="24">
        <f>-H419</f>
        <v/>
      </c>
      <c r="I183" s="24">
        <f>-I419</f>
        <v/>
      </c>
      <c r="J183" s="24">
        <f>-J419</f>
        <v/>
      </c>
      <c r="K183" s="24">
        <f>-K419</f>
        <v/>
      </c>
    </row>
    <row r="184">
      <c r="A184" t="inlineStr">
        <is>
          <t>(less) Software capex</t>
        </is>
      </c>
      <c r="B184" s="24">
        <f>B123</f>
        <v/>
      </c>
      <c r="C184" s="24">
        <f>C123</f>
        <v/>
      </c>
      <c r="D184" s="24">
        <f>D123</f>
        <v/>
      </c>
      <c r="E184" s="24">
        <f>E123</f>
        <v/>
      </c>
      <c r="F184" s="24">
        <f>-F420</f>
        <v/>
      </c>
      <c r="G184" s="24">
        <f>-G420</f>
        <v/>
      </c>
      <c r="H184" s="24">
        <f>-H420</f>
        <v/>
      </c>
      <c r="I184" s="24">
        <f>-I420</f>
        <v/>
      </c>
      <c r="J184" s="24">
        <f>-J420</f>
        <v/>
      </c>
      <c r="K184" s="24">
        <f>-K420</f>
        <v/>
      </c>
    </row>
    <row r="185">
      <c r="A185" t="inlineStr">
        <is>
          <t>(less) Normalized acquisition cost</t>
        </is>
      </c>
      <c r="B185" s="24">
        <f>B124</f>
        <v/>
      </c>
      <c r="C185" s="24">
        <f>C124</f>
        <v/>
      </c>
      <c r="D185" s="24">
        <f>D124</f>
        <v/>
      </c>
      <c r="E185" s="24">
        <f>E124</f>
        <v/>
      </c>
      <c r="F185" s="24">
        <f>-F421</f>
        <v/>
      </c>
      <c r="G185" s="24">
        <f>-G421</f>
        <v/>
      </c>
      <c r="H185" s="24">
        <f>-H421</f>
        <v/>
      </c>
      <c r="I185" s="24">
        <f>-I421</f>
        <v/>
      </c>
      <c r="J185" s="24">
        <f>-J421</f>
        <v/>
      </c>
      <c r="K185" s="24">
        <f>-K421</f>
        <v/>
      </c>
    </row>
    <row r="186">
      <c r="A186" t="inlineStr">
        <is>
          <t>Pre-tax Owners' Earnings</t>
        </is>
      </c>
      <c r="B186" s="24">
        <f>B125</f>
        <v/>
      </c>
      <c r="C186" s="24">
        <f>C125</f>
        <v/>
      </c>
      <c r="D186" s="24">
        <f>D125</f>
        <v/>
      </c>
      <c r="E186" s="24">
        <f>E125</f>
        <v/>
      </c>
      <c r="F186" s="24">
        <f>F422</f>
        <v/>
      </c>
      <c r="G186" s="24">
        <f>G422</f>
        <v/>
      </c>
      <c r="H186" s="24">
        <f>H422</f>
        <v/>
      </c>
      <c r="I186" s="24">
        <f>I422</f>
        <v/>
      </c>
      <c r="J186" s="24">
        <f>J422</f>
        <v/>
      </c>
      <c r="K186" s="24">
        <f>K422</f>
        <v/>
      </c>
    </row>
    <row r="187">
      <c r="A187" t="inlineStr">
        <is>
          <t>(less) Tax at normalized rate</t>
        </is>
      </c>
      <c r="B187" s="24">
        <f>B126</f>
        <v/>
      </c>
      <c r="C187" s="24">
        <f>C126</f>
        <v/>
      </c>
      <c r="D187" s="24">
        <f>D126</f>
        <v/>
      </c>
      <c r="E187" s="24">
        <f>E126</f>
        <v/>
      </c>
      <c r="F187" s="24">
        <f>F423-F422</f>
        <v/>
      </c>
      <c r="G187" s="24">
        <f>G423-G422</f>
        <v/>
      </c>
      <c r="H187" s="24">
        <f>H423-H422</f>
        <v/>
      </c>
      <c r="I187" s="24">
        <f>I423-I422</f>
        <v/>
      </c>
      <c r="J187" s="24">
        <f>J423-J422</f>
        <v/>
      </c>
      <c r="K187" s="24">
        <f>K423-K422</f>
        <v/>
      </c>
    </row>
    <row r="188">
      <c r="A188" s="20" t="inlineStr">
        <is>
          <t>Owners' Earnings</t>
        </is>
      </c>
      <c r="B188" s="25">
        <f>B127</f>
        <v/>
      </c>
      <c r="C188" s="25">
        <f>C127</f>
        <v/>
      </c>
      <c r="D188" s="25">
        <f>D127</f>
        <v/>
      </c>
      <c r="E188" s="25">
        <f>E127</f>
        <v/>
      </c>
      <c r="F188" s="25">
        <f>F423</f>
        <v/>
      </c>
      <c r="G188" s="25">
        <f>G423</f>
        <v/>
      </c>
      <c r="H188" s="25">
        <f>H423</f>
        <v/>
      </c>
      <c r="I188" s="25">
        <f>I423</f>
        <v/>
      </c>
      <c r="J188" s="25">
        <f>J423</f>
        <v/>
      </c>
      <c r="K188" s="25">
        <f>K423</f>
        <v/>
      </c>
    </row>
    <row r="189">
      <c r="A189" t="inlineStr">
        <is>
          <t xml:space="preserve">  OE margin</t>
        </is>
      </c>
      <c r="B189" s="26">
        <f>B188/B177</f>
        <v/>
      </c>
      <c r="C189" s="26">
        <f>C188/C177</f>
        <v/>
      </c>
      <c r="D189" s="26">
        <f>D188/D177</f>
        <v/>
      </c>
      <c r="E189" s="26">
        <f>E188/E177</f>
        <v/>
      </c>
      <c r="F189" s="26">
        <f>F188/F177</f>
        <v/>
      </c>
      <c r="G189" s="26">
        <f>G188/G177</f>
        <v/>
      </c>
      <c r="H189" s="26">
        <f>H188/H177</f>
        <v/>
      </c>
      <c r="I189" s="26">
        <f>I188/I177</f>
        <v/>
      </c>
      <c r="J189" s="26">
        <f>J188/J177</f>
        <v/>
      </c>
      <c r="K189" s="26">
        <f>K188/K177</f>
        <v/>
      </c>
    </row>
    <row r="190">
      <c r="A190" t="inlineStr">
        <is>
          <t xml:space="preserve">  OE growth (FY2026E vs FY2025)</t>
        </is>
      </c>
      <c r="C190" s="26">
        <f>C188/B188-1</f>
        <v/>
      </c>
      <c r="D190" s="26">
        <f>D188/C188-1</f>
        <v/>
      </c>
      <c r="F190" s="26">
        <f>F188/D188-1</f>
        <v/>
      </c>
      <c r="G190" s="26">
        <f>G188/F188-1</f>
        <v/>
      </c>
      <c r="H190" s="26">
        <f>H188/G188-1</f>
        <v/>
      </c>
      <c r="I190" s="26">
        <f>I188/H188-1</f>
        <v/>
      </c>
      <c r="J190" s="26">
        <f>J188/I188-1</f>
        <v/>
      </c>
      <c r="K190" s="26">
        <f>K188/J188-1</f>
        <v/>
      </c>
    </row>
    <row r="191">
      <c r="A191" t="inlineStr">
        <is>
          <t xml:space="preserve">  of which new locations (opened 2026+)</t>
        </is>
      </c>
      <c r="F191" s="24">
        <f>F426</f>
        <v/>
      </c>
      <c r="G191" s="24">
        <f>G426</f>
        <v/>
      </c>
      <c r="H191" s="24">
        <f>H426</f>
        <v/>
      </c>
      <c r="I191" s="24">
        <f>I426</f>
        <v/>
      </c>
      <c r="J191" s="24">
        <f>J426</f>
        <v/>
      </c>
      <c r="K191" s="24">
        <f>K426</f>
        <v/>
      </c>
    </row>
    <row r="192">
      <c r="A192" t="inlineStr">
        <is>
          <t>(less) Growth capex</t>
        </is>
      </c>
      <c r="F192" s="24">
        <f>-F410</f>
        <v/>
      </c>
      <c r="G192" s="24">
        <f>-G410</f>
        <v/>
      </c>
      <c r="H192" s="24">
        <f>-H410</f>
        <v/>
      </c>
      <c r="I192" s="24">
        <f>-I410</f>
        <v/>
      </c>
      <c r="J192" s="24">
        <f>-J410</f>
        <v/>
      </c>
      <c r="K192" s="24">
        <f>-K410</f>
        <v/>
      </c>
    </row>
    <row r="193">
      <c r="A193" t="inlineStr">
        <is>
          <t>(less) One-off integration costs, after tax</t>
        </is>
      </c>
      <c r="F193" s="24">
        <f>-F429</f>
        <v/>
      </c>
      <c r="G193" s="24">
        <f>-G429</f>
        <v/>
      </c>
      <c r="H193" s="24">
        <f>-H429</f>
        <v/>
      </c>
      <c r="I193" s="24">
        <f>-I429</f>
        <v/>
      </c>
      <c r="J193" s="24">
        <f>-J429</f>
        <v/>
      </c>
      <c r="K193" s="24">
        <f>-K429</f>
        <v/>
      </c>
    </row>
    <row r="194">
      <c r="A194" s="20" t="inlineStr">
        <is>
          <t>Distributable cash</t>
        </is>
      </c>
      <c r="F194" s="25">
        <f>F430</f>
        <v/>
      </c>
      <c r="G194" s="25">
        <f>G430</f>
        <v/>
      </c>
      <c r="H194" s="25">
        <f>H430</f>
        <v/>
      </c>
      <c r="I194" s="25">
        <f>I430</f>
        <v/>
      </c>
      <c r="J194" s="25">
        <f>J430</f>
        <v/>
      </c>
      <c r="K194" s="25">
        <f>K430</f>
        <v/>
      </c>
    </row>
    <row r="195">
      <c r="A195" t="inlineStr">
        <is>
          <t>Net debt ex-leases, period end (Jun-2026 in TTM column)</t>
        </is>
      </c>
      <c r="E195" s="24">
        <f>E432</f>
        <v/>
      </c>
      <c r="F195" s="24">
        <f>F432</f>
        <v/>
      </c>
      <c r="G195" s="24">
        <f>G432</f>
        <v/>
      </c>
      <c r="H195" s="24">
        <f>H432</f>
        <v/>
      </c>
      <c r="I195" s="24">
        <f>I432</f>
        <v/>
      </c>
      <c r="J195" s="24">
        <f>J432</f>
        <v/>
      </c>
      <c r="K195" s="24">
        <f>K432</f>
        <v/>
      </c>
    </row>
    <row r="197">
      <c r="A197" s="20" t="inlineStr">
        <is>
          <t>Bull</t>
        </is>
      </c>
    </row>
    <row r="198">
      <c r="A198" t="inlineStr">
        <is>
          <t>Sales</t>
        </is>
      </c>
      <c r="B198" s="24">
        <f>B113</f>
        <v/>
      </c>
      <c r="C198" s="24">
        <f>C113</f>
        <v/>
      </c>
      <c r="D198" s="24">
        <f>D113</f>
        <v/>
      </c>
      <c r="E198" s="24">
        <f>E113</f>
        <v/>
      </c>
      <c r="F198" s="24">
        <f>F510</f>
        <v/>
      </c>
      <c r="G198" s="24">
        <f>G510</f>
        <v/>
      </c>
      <c r="H198" s="24">
        <f>H510</f>
        <v/>
      </c>
      <c r="I198" s="24">
        <f>I510</f>
        <v/>
      </c>
      <c r="J198" s="24">
        <f>J510</f>
        <v/>
      </c>
      <c r="K198" s="24">
        <f>K510</f>
        <v/>
      </c>
    </row>
    <row r="199">
      <c r="A199" t="inlineStr">
        <is>
          <t xml:space="preserve">  growth (FY2026E vs FY2025)</t>
        </is>
      </c>
      <c r="C199" s="26">
        <f>C198/B198-1</f>
        <v/>
      </c>
      <c r="D199" s="26">
        <f>D198/C198-1</f>
        <v/>
      </c>
      <c r="F199" s="26">
        <f>F198/D198-1</f>
        <v/>
      </c>
      <c r="G199" s="26">
        <f>G198/F198-1</f>
        <v/>
      </c>
      <c r="H199" s="26">
        <f>H198/G198-1</f>
        <v/>
      </c>
      <c r="I199" s="26">
        <f>I198/H198-1</f>
        <v/>
      </c>
      <c r="J199" s="26">
        <f>J198/I198-1</f>
        <v/>
      </c>
      <c r="K199" s="26">
        <f>K198/J198-1</f>
        <v/>
      </c>
    </row>
    <row r="200">
      <c r="A200" t="inlineStr">
        <is>
          <t>Adjusted EBITDA</t>
        </is>
      </c>
      <c r="B200" s="24">
        <f>B114</f>
        <v/>
      </c>
      <c r="C200" s="24">
        <f>C114</f>
        <v/>
      </c>
      <c r="D200" s="24">
        <f>D114</f>
        <v/>
      </c>
      <c r="E200" s="24">
        <f>E114</f>
        <v/>
      </c>
      <c r="F200" s="24">
        <f>F511</f>
        <v/>
      </c>
      <c r="G200" s="24">
        <f>G511</f>
        <v/>
      </c>
      <c r="H200" s="24">
        <f>H511</f>
        <v/>
      </c>
      <c r="I200" s="24">
        <f>I511</f>
        <v/>
      </c>
      <c r="J200" s="24">
        <f>J511</f>
        <v/>
      </c>
      <c r="K200" s="24">
        <f>K511</f>
        <v/>
      </c>
    </row>
    <row r="201">
      <c r="A201" t="inlineStr">
        <is>
          <t xml:space="preserve">  margin</t>
        </is>
      </c>
      <c r="B201" s="26">
        <f>B200/B198</f>
        <v/>
      </c>
      <c r="C201" s="26">
        <f>C200/C198</f>
        <v/>
      </c>
      <c r="D201" s="26">
        <f>D200/D198</f>
        <v/>
      </c>
      <c r="E201" s="26">
        <f>E200/E198</f>
        <v/>
      </c>
      <c r="F201" s="26">
        <f>F200/F198</f>
        <v/>
      </c>
      <c r="G201" s="26">
        <f>G200/G198</f>
        <v/>
      </c>
      <c r="H201" s="26">
        <f>H200/H198</f>
        <v/>
      </c>
      <c r="I201" s="26">
        <f>I200/I198</f>
        <v/>
      </c>
      <c r="J201" s="26">
        <f>J200/J198</f>
        <v/>
      </c>
      <c r="K201" s="26">
        <f>K200/K198</f>
        <v/>
      </c>
    </row>
    <row r="202">
      <c r="A202" t="inlineStr">
        <is>
          <t>(less) Cash rent</t>
        </is>
      </c>
      <c r="B202" s="24">
        <f>B120</f>
        <v/>
      </c>
      <c r="C202" s="24">
        <f>C120</f>
        <v/>
      </c>
      <c r="D202" s="24">
        <f>D120</f>
        <v/>
      </c>
      <c r="E202" s="24">
        <f>E120</f>
        <v/>
      </c>
      <c r="F202" s="24">
        <f>-(F451+F509)</f>
        <v/>
      </c>
      <c r="G202" s="24">
        <f>-(G451+G509)</f>
        <v/>
      </c>
      <c r="H202" s="24">
        <f>-(H451+H509)</f>
        <v/>
      </c>
      <c r="I202" s="24">
        <f>-(I451+I509)</f>
        <v/>
      </c>
      <c r="J202" s="24">
        <f>-(J451+J509)</f>
        <v/>
      </c>
      <c r="K202" s="24">
        <f>-(K451+K509)</f>
        <v/>
      </c>
    </row>
    <row r="203">
      <c r="A203" s="20" t="inlineStr">
        <is>
          <t>EBITDA after rent</t>
        </is>
      </c>
      <c r="B203" s="25">
        <f>B121</f>
        <v/>
      </c>
      <c r="C203" s="25">
        <f>C121</f>
        <v/>
      </c>
      <c r="D203" s="25">
        <f>D121</f>
        <v/>
      </c>
      <c r="E203" s="25">
        <f>E121</f>
        <v/>
      </c>
      <c r="F203" s="25">
        <f>F512</f>
        <v/>
      </c>
      <c r="G203" s="25">
        <f>G512</f>
        <v/>
      </c>
      <c r="H203" s="25">
        <f>H512</f>
        <v/>
      </c>
      <c r="I203" s="25">
        <f>I512</f>
        <v/>
      </c>
      <c r="J203" s="25">
        <f>J512</f>
        <v/>
      </c>
      <c r="K203" s="25">
        <f>K512</f>
        <v/>
      </c>
    </row>
    <row r="204">
      <c r="A204" t="inlineStr">
        <is>
          <t>(less) Maintenance capex</t>
        </is>
      </c>
      <c r="B204" s="24">
        <f>B122</f>
        <v/>
      </c>
      <c r="C204" s="24">
        <f>C122</f>
        <v/>
      </c>
      <c r="D204" s="24">
        <f>D122</f>
        <v/>
      </c>
      <c r="E204" s="24">
        <f>E122</f>
        <v/>
      </c>
      <c r="F204" s="24">
        <f>-F513</f>
        <v/>
      </c>
      <c r="G204" s="24">
        <f>-G513</f>
        <v/>
      </c>
      <c r="H204" s="24">
        <f>-H513</f>
        <v/>
      </c>
      <c r="I204" s="24">
        <f>-I513</f>
        <v/>
      </c>
      <c r="J204" s="24">
        <f>-J513</f>
        <v/>
      </c>
      <c r="K204" s="24">
        <f>-K513</f>
        <v/>
      </c>
    </row>
    <row r="205">
      <c r="A205" t="inlineStr">
        <is>
          <t>(less) Software capex</t>
        </is>
      </c>
      <c r="B205" s="24">
        <f>B123</f>
        <v/>
      </c>
      <c r="C205" s="24">
        <f>C123</f>
        <v/>
      </c>
      <c r="D205" s="24">
        <f>D123</f>
        <v/>
      </c>
      <c r="E205" s="24">
        <f>E123</f>
        <v/>
      </c>
      <c r="F205" s="24">
        <f>-F514</f>
        <v/>
      </c>
      <c r="G205" s="24">
        <f>-G514</f>
        <v/>
      </c>
      <c r="H205" s="24">
        <f>-H514</f>
        <v/>
      </c>
      <c r="I205" s="24">
        <f>-I514</f>
        <v/>
      </c>
      <c r="J205" s="24">
        <f>-J514</f>
        <v/>
      </c>
      <c r="K205" s="24">
        <f>-K514</f>
        <v/>
      </c>
    </row>
    <row r="206">
      <c r="A206" t="inlineStr">
        <is>
          <t>(less) Normalized acquisition cost</t>
        </is>
      </c>
      <c r="B206" s="24">
        <f>B124</f>
        <v/>
      </c>
      <c r="C206" s="24">
        <f>C124</f>
        <v/>
      </c>
      <c r="D206" s="24">
        <f>D124</f>
        <v/>
      </c>
      <c r="E206" s="24">
        <f>E124</f>
        <v/>
      </c>
      <c r="F206" s="24">
        <f>-F515</f>
        <v/>
      </c>
      <c r="G206" s="24">
        <f>-G515</f>
        <v/>
      </c>
      <c r="H206" s="24">
        <f>-H515</f>
        <v/>
      </c>
      <c r="I206" s="24">
        <f>-I515</f>
        <v/>
      </c>
      <c r="J206" s="24">
        <f>-J515</f>
        <v/>
      </c>
      <c r="K206" s="24">
        <f>-K515</f>
        <v/>
      </c>
    </row>
    <row r="207">
      <c r="A207" t="inlineStr">
        <is>
          <t>Pre-tax Owners' Earnings</t>
        </is>
      </c>
      <c r="B207" s="24">
        <f>B125</f>
        <v/>
      </c>
      <c r="C207" s="24">
        <f>C125</f>
        <v/>
      </c>
      <c r="D207" s="24">
        <f>D125</f>
        <v/>
      </c>
      <c r="E207" s="24">
        <f>E125</f>
        <v/>
      </c>
      <c r="F207" s="24">
        <f>F516</f>
        <v/>
      </c>
      <c r="G207" s="24">
        <f>G516</f>
        <v/>
      </c>
      <c r="H207" s="24">
        <f>H516</f>
        <v/>
      </c>
      <c r="I207" s="24">
        <f>I516</f>
        <v/>
      </c>
      <c r="J207" s="24">
        <f>J516</f>
        <v/>
      </c>
      <c r="K207" s="24">
        <f>K516</f>
        <v/>
      </c>
    </row>
    <row r="208">
      <c r="A208" t="inlineStr">
        <is>
          <t>(less) Tax at normalized rate</t>
        </is>
      </c>
      <c r="B208" s="24">
        <f>B126</f>
        <v/>
      </c>
      <c r="C208" s="24">
        <f>C126</f>
        <v/>
      </c>
      <c r="D208" s="24">
        <f>D126</f>
        <v/>
      </c>
      <c r="E208" s="24">
        <f>E126</f>
        <v/>
      </c>
      <c r="F208" s="24">
        <f>F517-F516</f>
        <v/>
      </c>
      <c r="G208" s="24">
        <f>G517-G516</f>
        <v/>
      </c>
      <c r="H208" s="24">
        <f>H517-H516</f>
        <v/>
      </c>
      <c r="I208" s="24">
        <f>I517-I516</f>
        <v/>
      </c>
      <c r="J208" s="24">
        <f>J517-J516</f>
        <v/>
      </c>
      <c r="K208" s="24">
        <f>K517-K516</f>
        <v/>
      </c>
    </row>
    <row r="209">
      <c r="A209" s="20" t="inlineStr">
        <is>
          <t>Owners' Earnings</t>
        </is>
      </c>
      <c r="B209" s="25">
        <f>B127</f>
        <v/>
      </c>
      <c r="C209" s="25">
        <f>C127</f>
        <v/>
      </c>
      <c r="D209" s="25">
        <f>D127</f>
        <v/>
      </c>
      <c r="E209" s="25">
        <f>E127</f>
        <v/>
      </c>
      <c r="F209" s="25">
        <f>F517</f>
        <v/>
      </c>
      <c r="G209" s="25">
        <f>G517</f>
        <v/>
      </c>
      <c r="H209" s="25">
        <f>H517</f>
        <v/>
      </c>
      <c r="I209" s="25">
        <f>I517</f>
        <v/>
      </c>
      <c r="J209" s="25">
        <f>J517</f>
        <v/>
      </c>
      <c r="K209" s="25">
        <f>K517</f>
        <v/>
      </c>
    </row>
    <row r="210">
      <c r="A210" t="inlineStr">
        <is>
          <t xml:space="preserve">  OE margin</t>
        </is>
      </c>
      <c r="B210" s="26">
        <f>B209/B198</f>
        <v/>
      </c>
      <c r="C210" s="26">
        <f>C209/C198</f>
        <v/>
      </c>
      <c r="D210" s="26">
        <f>D209/D198</f>
        <v/>
      </c>
      <c r="E210" s="26">
        <f>E209/E198</f>
        <v/>
      </c>
      <c r="F210" s="26">
        <f>F209/F198</f>
        <v/>
      </c>
      <c r="G210" s="26">
        <f>G209/G198</f>
        <v/>
      </c>
      <c r="H210" s="26">
        <f>H209/H198</f>
        <v/>
      </c>
      <c r="I210" s="26">
        <f>I209/I198</f>
        <v/>
      </c>
      <c r="J210" s="26">
        <f>J209/J198</f>
        <v/>
      </c>
      <c r="K210" s="26">
        <f>K209/K198</f>
        <v/>
      </c>
    </row>
    <row r="211">
      <c r="A211" t="inlineStr">
        <is>
          <t xml:space="preserve">  OE growth (FY2026E vs FY2025)</t>
        </is>
      </c>
      <c r="C211" s="26">
        <f>C209/B209-1</f>
        <v/>
      </c>
      <c r="D211" s="26">
        <f>D209/C209-1</f>
        <v/>
      </c>
      <c r="F211" s="26">
        <f>F209/D209-1</f>
        <v/>
      </c>
      <c r="G211" s="26">
        <f>G209/F209-1</f>
        <v/>
      </c>
      <c r="H211" s="26">
        <f>H209/G209-1</f>
        <v/>
      </c>
      <c r="I211" s="26">
        <f>I209/H209-1</f>
        <v/>
      </c>
      <c r="J211" s="26">
        <f>J209/I209-1</f>
        <v/>
      </c>
      <c r="K211" s="26">
        <f>K209/J209-1</f>
        <v/>
      </c>
    </row>
    <row r="212">
      <c r="A212" t="inlineStr">
        <is>
          <t xml:space="preserve">  of which new locations (opened 2026+)</t>
        </is>
      </c>
      <c r="F212" s="24">
        <f>F520</f>
        <v/>
      </c>
      <c r="G212" s="24">
        <f>G520</f>
        <v/>
      </c>
      <c r="H212" s="24">
        <f>H520</f>
        <v/>
      </c>
      <c r="I212" s="24">
        <f>I520</f>
        <v/>
      </c>
      <c r="J212" s="24">
        <f>J520</f>
        <v/>
      </c>
      <c r="K212" s="24">
        <f>K520</f>
        <v/>
      </c>
    </row>
    <row r="213">
      <c r="A213" t="inlineStr">
        <is>
          <t>(less) Growth capex</t>
        </is>
      </c>
      <c r="F213" s="24">
        <f>-F504</f>
        <v/>
      </c>
      <c r="G213" s="24">
        <f>-G504</f>
        <v/>
      </c>
      <c r="H213" s="24">
        <f>-H504</f>
        <v/>
      </c>
      <c r="I213" s="24">
        <f>-I504</f>
        <v/>
      </c>
      <c r="J213" s="24">
        <f>-J504</f>
        <v/>
      </c>
      <c r="K213" s="24">
        <f>-K504</f>
        <v/>
      </c>
    </row>
    <row r="214">
      <c r="A214" t="inlineStr">
        <is>
          <t>(less) One-off integration costs, after tax</t>
        </is>
      </c>
      <c r="F214" s="24">
        <f>-F523</f>
        <v/>
      </c>
      <c r="G214" s="24">
        <f>-G523</f>
        <v/>
      </c>
      <c r="H214" s="24">
        <f>-H523</f>
        <v/>
      </c>
      <c r="I214" s="24">
        <f>-I523</f>
        <v/>
      </c>
      <c r="J214" s="24">
        <f>-J523</f>
        <v/>
      </c>
      <c r="K214" s="24">
        <f>-K523</f>
        <v/>
      </c>
    </row>
    <row r="215">
      <c r="A215" s="20" t="inlineStr">
        <is>
          <t>Distributable cash</t>
        </is>
      </c>
      <c r="F215" s="25">
        <f>F524</f>
        <v/>
      </c>
      <c r="G215" s="25">
        <f>G524</f>
        <v/>
      </c>
      <c r="H215" s="25">
        <f>H524</f>
        <v/>
      </c>
      <c r="I215" s="25">
        <f>I524</f>
        <v/>
      </c>
      <c r="J215" s="25">
        <f>J524</f>
        <v/>
      </c>
      <c r="K215" s="25">
        <f>K524</f>
        <v/>
      </c>
    </row>
    <row r="216">
      <c r="A216" t="inlineStr">
        <is>
          <t>Net debt ex-leases, period end (Jun-2026 in TTM column)</t>
        </is>
      </c>
      <c r="E216" s="24">
        <f>E526</f>
        <v/>
      </c>
      <c r="F216" s="24">
        <f>F526</f>
        <v/>
      </c>
      <c r="G216" s="24">
        <f>G526</f>
        <v/>
      </c>
      <c r="H216" s="24">
        <f>H526</f>
        <v/>
      </c>
      <c r="I216" s="24">
        <f>I526</f>
        <v/>
      </c>
      <c r="J216" s="24">
        <f>J526</f>
        <v/>
      </c>
      <c r="K216" s="24">
        <f>K526</f>
        <v/>
      </c>
    </row>
    <row r="218">
      <c r="A218" s="20" t="inlineStr">
        <is>
          <t>No growth (existing business only)</t>
        </is>
      </c>
    </row>
    <row r="219">
      <c r="A219" t="inlineStr">
        <is>
          <t>Sales</t>
        </is>
      </c>
      <c r="B219" s="24">
        <f>B113</f>
        <v/>
      </c>
      <c r="C219" s="24">
        <f>C113</f>
        <v/>
      </c>
      <c r="D219" s="24">
        <f>D113</f>
        <v/>
      </c>
      <c r="E219" s="24">
        <f>E113</f>
        <v/>
      </c>
      <c r="F219" s="24">
        <f>F604</f>
        <v/>
      </c>
      <c r="G219" s="24">
        <f>G604</f>
        <v/>
      </c>
      <c r="H219" s="24">
        <f>H604</f>
        <v/>
      </c>
      <c r="I219" s="24">
        <f>I604</f>
        <v/>
      </c>
      <c r="J219" s="24">
        <f>J604</f>
        <v/>
      </c>
      <c r="K219" s="24">
        <f>K604</f>
        <v/>
      </c>
    </row>
    <row r="220">
      <c r="A220" t="inlineStr">
        <is>
          <t xml:space="preserve">  growth (FY2026E vs FY2025)</t>
        </is>
      </c>
      <c r="C220" s="26">
        <f>C219/B219-1</f>
        <v/>
      </c>
      <c r="D220" s="26">
        <f>D219/C219-1</f>
        <v/>
      </c>
      <c r="F220" s="26">
        <f>F219/D219-1</f>
        <v/>
      </c>
      <c r="G220" s="26">
        <f>G219/F219-1</f>
        <v/>
      </c>
      <c r="H220" s="26">
        <f>H219/G219-1</f>
        <v/>
      </c>
      <c r="I220" s="26">
        <f>I219/H219-1</f>
        <v/>
      </c>
      <c r="J220" s="26">
        <f>J219/I219-1</f>
        <v/>
      </c>
      <c r="K220" s="26">
        <f>K219/J219-1</f>
        <v/>
      </c>
    </row>
    <row r="221">
      <c r="A221" t="inlineStr">
        <is>
          <t>Adjusted EBITDA</t>
        </is>
      </c>
      <c r="B221" s="24">
        <f>B114</f>
        <v/>
      </c>
      <c r="C221" s="24">
        <f>C114</f>
        <v/>
      </c>
      <c r="D221" s="24">
        <f>D114</f>
        <v/>
      </c>
      <c r="E221" s="24">
        <f>E114</f>
        <v/>
      </c>
      <c r="F221" s="24">
        <f>F605</f>
        <v/>
      </c>
      <c r="G221" s="24">
        <f>G605</f>
        <v/>
      </c>
      <c r="H221" s="24">
        <f>H605</f>
        <v/>
      </c>
      <c r="I221" s="24">
        <f>I605</f>
        <v/>
      </c>
      <c r="J221" s="24">
        <f>J605</f>
        <v/>
      </c>
      <c r="K221" s="24">
        <f>K605</f>
        <v/>
      </c>
    </row>
    <row r="222">
      <c r="A222" t="inlineStr">
        <is>
          <t xml:space="preserve">  margin</t>
        </is>
      </c>
      <c r="B222" s="26">
        <f>B221/B219</f>
        <v/>
      </c>
      <c r="C222" s="26">
        <f>C221/C219</f>
        <v/>
      </c>
      <c r="D222" s="26">
        <f>D221/D219</f>
        <v/>
      </c>
      <c r="E222" s="26">
        <f>E221/E219</f>
        <v/>
      </c>
      <c r="F222" s="26">
        <f>F221/F219</f>
        <v/>
      </c>
      <c r="G222" s="26">
        <f>G221/G219</f>
        <v/>
      </c>
      <c r="H222" s="26">
        <f>H221/H219</f>
        <v/>
      </c>
      <c r="I222" s="26">
        <f>I221/I219</f>
        <v/>
      </c>
      <c r="J222" s="26">
        <f>J221/J219</f>
        <v/>
      </c>
      <c r="K222" s="26">
        <f>K221/K219</f>
        <v/>
      </c>
    </row>
    <row r="223">
      <c r="A223" t="inlineStr">
        <is>
          <t>(less) Cash rent</t>
        </is>
      </c>
      <c r="B223" s="24">
        <f>B120</f>
        <v/>
      </c>
      <c r="C223" s="24">
        <f>C120</f>
        <v/>
      </c>
      <c r="D223" s="24">
        <f>D120</f>
        <v/>
      </c>
      <c r="E223" s="24">
        <f>E120</f>
        <v/>
      </c>
      <c r="F223" s="24">
        <f>-(F545+F603)</f>
        <v/>
      </c>
      <c r="G223" s="24">
        <f>-(G545+G603)</f>
        <v/>
      </c>
      <c r="H223" s="24">
        <f>-(H545+H603)</f>
        <v/>
      </c>
      <c r="I223" s="24">
        <f>-(I545+I603)</f>
        <v/>
      </c>
      <c r="J223" s="24">
        <f>-(J545+J603)</f>
        <v/>
      </c>
      <c r="K223" s="24">
        <f>-(K545+K603)</f>
        <v/>
      </c>
    </row>
    <row r="224">
      <c r="A224" s="20" t="inlineStr">
        <is>
          <t>EBITDA after rent</t>
        </is>
      </c>
      <c r="B224" s="25">
        <f>B121</f>
        <v/>
      </c>
      <c r="C224" s="25">
        <f>C121</f>
        <v/>
      </c>
      <c r="D224" s="25">
        <f>D121</f>
        <v/>
      </c>
      <c r="E224" s="25">
        <f>E121</f>
        <v/>
      </c>
      <c r="F224" s="25">
        <f>F606</f>
        <v/>
      </c>
      <c r="G224" s="25">
        <f>G606</f>
        <v/>
      </c>
      <c r="H224" s="25">
        <f>H606</f>
        <v/>
      </c>
      <c r="I224" s="25">
        <f>I606</f>
        <v/>
      </c>
      <c r="J224" s="25">
        <f>J606</f>
        <v/>
      </c>
      <c r="K224" s="25">
        <f>K606</f>
        <v/>
      </c>
    </row>
    <row r="225">
      <c r="A225" t="inlineStr">
        <is>
          <t>(less) Maintenance capex</t>
        </is>
      </c>
      <c r="B225" s="24">
        <f>B122</f>
        <v/>
      </c>
      <c r="C225" s="24">
        <f>C122</f>
        <v/>
      </c>
      <c r="D225" s="24">
        <f>D122</f>
        <v/>
      </c>
      <c r="E225" s="24">
        <f>E122</f>
        <v/>
      </c>
      <c r="F225" s="24">
        <f>-F607</f>
        <v/>
      </c>
      <c r="G225" s="24">
        <f>-G607</f>
        <v/>
      </c>
      <c r="H225" s="24">
        <f>-H607</f>
        <v/>
      </c>
      <c r="I225" s="24">
        <f>-I607</f>
        <v/>
      </c>
      <c r="J225" s="24">
        <f>-J607</f>
        <v/>
      </c>
      <c r="K225" s="24">
        <f>-K607</f>
        <v/>
      </c>
    </row>
    <row r="226">
      <c r="A226" t="inlineStr">
        <is>
          <t>(less) Software capex</t>
        </is>
      </c>
      <c r="B226" s="24">
        <f>B123</f>
        <v/>
      </c>
      <c r="C226" s="24">
        <f>C123</f>
        <v/>
      </c>
      <c r="D226" s="24">
        <f>D123</f>
        <v/>
      </c>
      <c r="E226" s="24">
        <f>E123</f>
        <v/>
      </c>
      <c r="F226" s="24">
        <f>-F608</f>
        <v/>
      </c>
      <c r="G226" s="24">
        <f>-G608</f>
        <v/>
      </c>
      <c r="H226" s="24">
        <f>-H608</f>
        <v/>
      </c>
      <c r="I226" s="24">
        <f>-I608</f>
        <v/>
      </c>
      <c r="J226" s="24">
        <f>-J608</f>
        <v/>
      </c>
      <c r="K226" s="24">
        <f>-K608</f>
        <v/>
      </c>
    </row>
    <row r="227">
      <c r="A227" t="inlineStr">
        <is>
          <t>(less) Normalized acquisition cost</t>
        </is>
      </c>
      <c r="B227" s="24">
        <f>B124</f>
        <v/>
      </c>
      <c r="C227" s="24">
        <f>C124</f>
        <v/>
      </c>
      <c r="D227" s="24">
        <f>D124</f>
        <v/>
      </c>
      <c r="E227" s="24">
        <f>E124</f>
        <v/>
      </c>
      <c r="F227" s="24">
        <f>-F609</f>
        <v/>
      </c>
      <c r="G227" s="24">
        <f>-G609</f>
        <v/>
      </c>
      <c r="H227" s="24">
        <f>-H609</f>
        <v/>
      </c>
      <c r="I227" s="24">
        <f>-I609</f>
        <v/>
      </c>
      <c r="J227" s="24">
        <f>-J609</f>
        <v/>
      </c>
      <c r="K227" s="24">
        <f>-K609</f>
        <v/>
      </c>
    </row>
    <row r="228">
      <c r="A228" t="inlineStr">
        <is>
          <t>Pre-tax Owners' Earnings</t>
        </is>
      </c>
      <c r="B228" s="24">
        <f>B125</f>
        <v/>
      </c>
      <c r="C228" s="24">
        <f>C125</f>
        <v/>
      </c>
      <c r="D228" s="24">
        <f>D125</f>
        <v/>
      </c>
      <c r="E228" s="24">
        <f>E125</f>
        <v/>
      </c>
      <c r="F228" s="24">
        <f>F610</f>
        <v/>
      </c>
      <c r="G228" s="24">
        <f>G610</f>
        <v/>
      </c>
      <c r="H228" s="24">
        <f>H610</f>
        <v/>
      </c>
      <c r="I228" s="24">
        <f>I610</f>
        <v/>
      </c>
      <c r="J228" s="24">
        <f>J610</f>
        <v/>
      </c>
      <c r="K228" s="24">
        <f>K610</f>
        <v/>
      </c>
    </row>
    <row r="229">
      <c r="A229" t="inlineStr">
        <is>
          <t>(less) Tax at normalized rate</t>
        </is>
      </c>
      <c r="B229" s="24">
        <f>B126</f>
        <v/>
      </c>
      <c r="C229" s="24">
        <f>C126</f>
        <v/>
      </c>
      <c r="D229" s="24">
        <f>D126</f>
        <v/>
      </c>
      <c r="E229" s="24">
        <f>E126</f>
        <v/>
      </c>
      <c r="F229" s="24">
        <f>F611-F610</f>
        <v/>
      </c>
      <c r="G229" s="24">
        <f>G611-G610</f>
        <v/>
      </c>
      <c r="H229" s="24">
        <f>H611-H610</f>
        <v/>
      </c>
      <c r="I229" s="24">
        <f>I611-I610</f>
        <v/>
      </c>
      <c r="J229" s="24">
        <f>J611-J610</f>
        <v/>
      </c>
      <c r="K229" s="24">
        <f>K611-K610</f>
        <v/>
      </c>
    </row>
    <row r="230">
      <c r="A230" s="20" t="inlineStr">
        <is>
          <t>Owners' Earnings</t>
        </is>
      </c>
      <c r="B230" s="25">
        <f>B127</f>
        <v/>
      </c>
      <c r="C230" s="25">
        <f>C127</f>
        <v/>
      </c>
      <c r="D230" s="25">
        <f>D127</f>
        <v/>
      </c>
      <c r="E230" s="25">
        <f>E127</f>
        <v/>
      </c>
      <c r="F230" s="25">
        <f>F611</f>
        <v/>
      </c>
      <c r="G230" s="25">
        <f>G611</f>
        <v/>
      </c>
      <c r="H230" s="25">
        <f>H611</f>
        <v/>
      </c>
      <c r="I230" s="25">
        <f>I611</f>
        <v/>
      </c>
      <c r="J230" s="25">
        <f>J611</f>
        <v/>
      </c>
      <c r="K230" s="25">
        <f>K611</f>
        <v/>
      </c>
    </row>
    <row r="231">
      <c r="A231" t="inlineStr">
        <is>
          <t xml:space="preserve">  OE margin</t>
        </is>
      </c>
      <c r="B231" s="26">
        <f>B230/B219</f>
        <v/>
      </c>
      <c r="C231" s="26">
        <f>C230/C219</f>
        <v/>
      </c>
      <c r="D231" s="26">
        <f>D230/D219</f>
        <v/>
      </c>
      <c r="E231" s="26">
        <f>E230/E219</f>
        <v/>
      </c>
      <c r="F231" s="26">
        <f>F230/F219</f>
        <v/>
      </c>
      <c r="G231" s="26">
        <f>G230/G219</f>
        <v/>
      </c>
      <c r="H231" s="26">
        <f>H230/H219</f>
        <v/>
      </c>
      <c r="I231" s="26">
        <f>I230/I219</f>
        <v/>
      </c>
      <c r="J231" s="26">
        <f>J230/J219</f>
        <v/>
      </c>
      <c r="K231" s="26">
        <f>K230/K219</f>
        <v/>
      </c>
    </row>
    <row r="232">
      <c r="A232" t="inlineStr">
        <is>
          <t xml:space="preserve">  OE growth (FY2026E vs FY2025)</t>
        </is>
      </c>
      <c r="C232" s="26">
        <f>C230/B230-1</f>
        <v/>
      </c>
      <c r="D232" s="26">
        <f>D230/C230-1</f>
        <v/>
      </c>
      <c r="F232" s="26">
        <f>F230/D230-1</f>
        <v/>
      </c>
      <c r="G232" s="26">
        <f>G230/F230-1</f>
        <v/>
      </c>
      <c r="H232" s="26">
        <f>H230/G230-1</f>
        <v/>
      </c>
      <c r="I232" s="26">
        <f>I230/H230-1</f>
        <v/>
      </c>
      <c r="J232" s="26">
        <f>J230/I230-1</f>
        <v/>
      </c>
      <c r="K232" s="26">
        <f>K230/J230-1</f>
        <v/>
      </c>
    </row>
    <row r="233">
      <c r="A233" t="inlineStr">
        <is>
          <t xml:space="preserve">  of which new locations (opened 2026+)</t>
        </is>
      </c>
      <c r="F233" s="24">
        <f>F614</f>
        <v/>
      </c>
      <c r="G233" s="24">
        <f>G614</f>
        <v/>
      </c>
      <c r="H233" s="24">
        <f>H614</f>
        <v/>
      </c>
      <c r="I233" s="24">
        <f>I614</f>
        <v/>
      </c>
      <c r="J233" s="24">
        <f>J614</f>
        <v/>
      </c>
      <c r="K233" s="24">
        <f>K614</f>
        <v/>
      </c>
    </row>
    <row r="234">
      <c r="A234" t="inlineStr">
        <is>
          <t>(less) Growth capex</t>
        </is>
      </c>
      <c r="F234" s="24">
        <f>-F598</f>
        <v/>
      </c>
      <c r="G234" s="24">
        <f>-G598</f>
        <v/>
      </c>
      <c r="H234" s="24">
        <f>-H598</f>
        <v/>
      </c>
      <c r="I234" s="24">
        <f>-I598</f>
        <v/>
      </c>
      <c r="J234" s="24">
        <f>-J598</f>
        <v/>
      </c>
      <c r="K234" s="24">
        <f>-K598</f>
        <v/>
      </c>
    </row>
    <row r="235">
      <c r="A235" t="inlineStr">
        <is>
          <t>(less) One-off integration costs, after tax</t>
        </is>
      </c>
      <c r="F235" s="24">
        <f>-F617</f>
        <v/>
      </c>
      <c r="G235" s="24">
        <f>-G617</f>
        <v/>
      </c>
      <c r="H235" s="24">
        <f>-H617</f>
        <v/>
      </c>
      <c r="I235" s="24">
        <f>-I617</f>
        <v/>
      </c>
      <c r="J235" s="24">
        <f>-J617</f>
        <v/>
      </c>
      <c r="K235" s="24">
        <f>-K617</f>
        <v/>
      </c>
    </row>
    <row r="236">
      <c r="A236" s="20" t="inlineStr">
        <is>
          <t>Distributable cash</t>
        </is>
      </c>
      <c r="F236" s="25">
        <f>F618</f>
        <v/>
      </c>
      <c r="G236" s="25">
        <f>G618</f>
        <v/>
      </c>
      <c r="H236" s="25">
        <f>H618</f>
        <v/>
      </c>
      <c r="I236" s="25">
        <f>I618</f>
        <v/>
      </c>
      <c r="J236" s="25">
        <f>J618</f>
        <v/>
      </c>
      <c r="K236" s="25">
        <f>K618</f>
        <v/>
      </c>
    </row>
    <row r="237">
      <c r="A237" t="inlineStr">
        <is>
          <t>Net debt ex-leases, period end (Jun-2026 in TTM column)</t>
        </is>
      </c>
      <c r="E237" s="24">
        <f>E620</f>
        <v/>
      </c>
      <c r="F237" s="24">
        <f>F620</f>
        <v/>
      </c>
      <c r="G237" s="24">
        <f>G620</f>
        <v/>
      </c>
      <c r="H237" s="24">
        <f>H620</f>
        <v/>
      </c>
      <c r="I237" s="24">
        <f>I620</f>
        <v/>
      </c>
      <c r="J237" s="24">
        <f>J620</f>
        <v/>
      </c>
      <c r="K237" s="24">
        <f>K620</f>
        <v/>
      </c>
    </row>
    <row r="239">
      <c r="A239" s="20" t="inlineStr">
        <is>
          <t>Probability-weighted OE (Bear/Base/Bull weights in 1.3)</t>
        </is>
      </c>
      <c r="F239" s="25">
        <f>$B$64*F167+$B$65*F188+$B$66*F209</f>
        <v/>
      </c>
      <c r="G239" s="25">
        <f>$B$64*G167+$B$65*G188+$B$66*G209</f>
        <v/>
      </c>
      <c r="H239" s="25">
        <f>$B$64*H167+$B$65*H188+$B$66*H209</f>
        <v/>
      </c>
      <c r="I239" s="25">
        <f>$B$64*I167+$B$65*I188+$B$66*I209</f>
        <v/>
      </c>
      <c r="J239" s="25">
        <f>$B$64*J167+$B$65*J188+$B$66*J209</f>
        <v/>
      </c>
      <c r="K239" s="25">
        <f>$B$64*K167+$B$65*K188+$B$66*K209</f>
        <v/>
      </c>
    </row>
    <row r="240">
      <c r="A240" t="inlineStr">
        <is>
          <t>Probability-weighted distributable cash</t>
        </is>
      </c>
      <c r="F240" s="24">
        <f>$B$64*F173+$B$65*F194+$B$66*F215</f>
        <v/>
      </c>
      <c r="G240" s="24">
        <f>$B$64*G173+$B$65*G194+$B$66*G215</f>
        <v/>
      </c>
      <c r="H240" s="24">
        <f>$B$64*H173+$B$65*H194+$B$66*H215</f>
        <v/>
      </c>
      <c r="I240" s="24">
        <f>$B$64*I173+$B$65*I194+$B$66*I215</f>
        <v/>
      </c>
      <c r="J240" s="24">
        <f>$B$64*J173+$B$65*J194+$B$66*J215</f>
        <v/>
      </c>
      <c r="K240" s="24">
        <f>$B$64*K173+$B$65*K194+$B$66*K215</f>
        <v/>
      </c>
    </row>
    <row r="247">
      <c r="A247" s="7" t="inlineStr">
        <is>
          <t>4. Forecast workings - Bear</t>
        </is>
      </c>
      <c r="B247" s="8" t="inlineStr"/>
      <c r="C247" s="8" t="inlineStr"/>
      <c r="D247" s="8" t="inlineStr">
        <is>
          <t>FY2025</t>
        </is>
      </c>
      <c r="E247" s="8" t="inlineStr">
        <is>
          <t>Jun-2026</t>
        </is>
      </c>
      <c r="F247" s="8" t="inlineStr">
        <is>
          <t>2026E</t>
        </is>
      </c>
      <c r="G247" s="8" t="inlineStr">
        <is>
          <t>2027E</t>
        </is>
      </c>
      <c r="H247" s="8" t="inlineStr">
        <is>
          <t>2028E</t>
        </is>
      </c>
      <c r="I247" s="8" t="inlineStr">
        <is>
          <t>2029E</t>
        </is>
      </c>
      <c r="J247" s="8" t="inlineStr">
        <is>
          <t>2030E</t>
        </is>
      </c>
      <c r="K247" s="8" t="inlineStr">
        <is>
          <t>2031E</t>
        </is>
      </c>
      <c r="L247" s="7" t="inlineStr">
        <is>
          <t>Source / explanation</t>
        </is>
      </c>
    </row>
    <row r="248">
      <c r="A248" t="inlineStr">
        <is>
          <t>Fiscal year</t>
        </is>
      </c>
      <c r="D248" s="28">
        <f>2025</f>
        <v/>
      </c>
      <c r="F248" s="28">
        <f>D248+1</f>
        <v/>
      </c>
      <c r="G248" s="28">
        <f>F248+1</f>
        <v/>
      </c>
      <c r="H248" s="28">
        <f>G248+1</f>
        <v/>
      </c>
      <c r="I248" s="28">
        <f>H248+1</f>
        <v/>
      </c>
      <c r="J248" s="28">
        <f>I248+1</f>
        <v/>
      </c>
      <c r="K248" s="28">
        <f>J248+1</f>
        <v/>
      </c>
    </row>
    <row r="249">
      <c r="A249" t="inlineStr">
        <is>
          <t xml:space="preserve">  Claims volume (pp)</t>
        </is>
      </c>
      <c r="F249" s="23">
        <f>F70</f>
        <v/>
      </c>
      <c r="G249" s="23">
        <f>G70</f>
        <v/>
      </c>
      <c r="H249" s="23">
        <f>H70</f>
        <v/>
      </c>
      <c r="I249" s="23">
        <f>I70</f>
        <v/>
      </c>
      <c r="J249" s="23">
        <f>J70</f>
        <v/>
      </c>
      <c r="K249" s="23">
        <f>K70</f>
        <v/>
      </c>
    </row>
    <row r="250">
      <c r="A250" t="inlineStr">
        <is>
          <t xml:space="preserve">  Avg repair cost (pp)</t>
        </is>
      </c>
      <c r="F250" s="23">
        <f>F71</f>
        <v/>
      </c>
      <c r="G250" s="23">
        <f>G71</f>
        <v/>
      </c>
      <c r="H250" s="23">
        <f>H71</f>
        <v/>
      </c>
      <c r="I250" s="23">
        <f>I71</f>
        <v/>
      </c>
      <c r="J250" s="23">
        <f>J71</f>
        <v/>
      </c>
      <c r="K250" s="23">
        <f>K71</f>
        <v/>
      </c>
    </row>
    <row r="251">
      <c r="A251" t="inlineStr">
        <is>
          <t xml:space="preserve">  Share gain (pp)</t>
        </is>
      </c>
      <c r="F251" s="23">
        <f>F72</f>
        <v/>
      </c>
      <c r="G251" s="23">
        <f>G72</f>
        <v/>
      </c>
      <c r="H251" s="23">
        <f>H72</f>
        <v/>
      </c>
      <c r="I251" s="23">
        <f>I72</f>
        <v/>
      </c>
      <c r="J251" s="23">
        <f>J72</f>
        <v/>
      </c>
      <c r="K251" s="23">
        <f>K72</f>
        <v/>
      </c>
    </row>
    <row r="252">
      <c r="A252" t="inlineStr">
        <is>
          <t>Same-store sales growth</t>
        </is>
      </c>
      <c r="F252" s="26">
        <f>(F249+F250+F251)/100</f>
        <v/>
      </c>
      <c r="G252" s="26">
        <f>(G249+G250+G251)/100</f>
        <v/>
      </c>
      <c r="H252" s="26">
        <f>(H249+H250+H251)/100</f>
        <v/>
      </c>
      <c r="I252" s="26">
        <f>(I249+I250+I251)/100</f>
        <v/>
      </c>
      <c r="J252" s="26">
        <f>(J249+J250+J251)/100</f>
        <v/>
      </c>
      <c r="K252" s="26">
        <f>(K249+K250+K251)/100</f>
        <v/>
      </c>
      <c r="L252" s="10" t="inlineStr">
        <is>
          <t>Claims volume + average repair cost + share gain</t>
        </is>
      </c>
    </row>
    <row r="253">
      <c r="A253" t="inlineStr">
        <is>
          <t>Price / volume index vs FY2025 (cumulative SSS)</t>
        </is>
      </c>
      <c r="D253" s="29">
        <f>1</f>
        <v/>
      </c>
      <c r="F253" s="29">
        <f>D253*(1+F252)</f>
        <v/>
      </c>
      <c r="G253" s="29">
        <f>F253*(1+G252)</f>
        <v/>
      </c>
      <c r="H253" s="29">
        <f>G253*(1+H252)</f>
        <v/>
      </c>
      <c r="I253" s="29">
        <f>H253*(1+I252)</f>
        <v/>
      </c>
      <c r="J253" s="29">
        <f>I253*(1+J252)</f>
        <v/>
      </c>
      <c r="K253" s="29">
        <f>J253*(1+K252)</f>
        <v/>
      </c>
    </row>
    <row r="254">
      <c r="A254" t="inlineStr">
        <is>
          <t>Legacy Boyd sales (all locations open at Dec-2025)</t>
        </is>
      </c>
      <c r="D254" s="18">
        <f>$B$33</f>
        <v/>
      </c>
      <c r="F254" s="24">
        <f>D254*(1+F252)</f>
        <v/>
      </c>
      <c r="G254" s="24">
        <f>F254*(1+G252)</f>
        <v/>
      </c>
      <c r="H254" s="24">
        <f>G254*(1+H252)</f>
        <v/>
      </c>
      <c r="I254" s="24">
        <f>H254*(1+I252)</f>
        <v/>
      </c>
      <c r="J254" s="24">
        <f>I254*(1+J252)</f>
        <v/>
      </c>
      <c r="K254" s="24">
        <f>J254*(1+K252)</f>
        <v/>
      </c>
      <c r="L254" s="10" t="inlineStr">
        <is>
          <t>FY2025 pro-forma sales grown with SSS</t>
        </is>
      </c>
    </row>
    <row r="255">
      <c r="A255" t="inlineStr">
        <is>
          <t>Joe Hudson's sales</t>
        </is>
      </c>
      <c r="F255" s="18">
        <f>$B$40</f>
        <v/>
      </c>
      <c r="G255" s="24">
        <f>$B$38*(1+G252)</f>
        <v/>
      </c>
      <c r="H255" s="24">
        <f>G255*(1+H252)</f>
        <v/>
      </c>
      <c r="I255" s="24">
        <f>H255*(1+I252)</f>
        <v/>
      </c>
      <c r="J255" s="24">
        <f>I255*(1+J252)</f>
        <v/>
      </c>
      <c r="K255" s="24">
        <f>J255*(1+K252)</f>
        <v/>
      </c>
      <c r="L255" s="10" t="inlineStr">
        <is>
          <t>2026 disrupted; 2027 back to pre-deal run rate x (1+SSS)</t>
        </is>
      </c>
    </row>
    <row r="256">
      <c r="A256" s="20" t="inlineStr">
        <is>
          <t>Existing-business sales</t>
        </is>
      </c>
      <c r="F256" s="25">
        <f>F254+F255</f>
        <v/>
      </c>
      <c r="G256" s="25">
        <f>G254+G255</f>
        <v/>
      </c>
      <c r="H256" s="25">
        <f>H254+H255</f>
        <v/>
      </c>
      <c r="I256" s="25">
        <f>I254+I255</f>
        <v/>
      </c>
      <c r="J256" s="25">
        <f>J254+J255</f>
        <v/>
      </c>
      <c r="K256" s="25">
        <f>K254+K255</f>
        <v/>
      </c>
    </row>
    <row r="257">
      <c r="A257" t="inlineStr">
        <is>
          <t>Margin change from operating leverage</t>
        </is>
      </c>
      <c r="F257" s="27">
        <f>MIN(MAX($B$42*(F252-$B$43),$B$45),$B$44)</f>
        <v/>
      </c>
      <c r="G257" s="27">
        <f>MIN(MAX($B$42*(G252-$B$43),$B$45),$B$44)</f>
        <v/>
      </c>
      <c r="H257" s="27">
        <f>MIN(MAX($B$42*(H252-$B$43),$B$45),$B$44)</f>
        <v/>
      </c>
      <c r="I257" s="27">
        <f>MIN(MAX($B$42*(I252-$B$43),$B$45),$B$44)</f>
        <v/>
      </c>
      <c r="J257" s="27">
        <f>MIN(MAX($B$42*(J252-$B$43),$B$45),$B$44)</f>
        <v/>
      </c>
      <c r="K257" s="27">
        <f>MIN(MAX($B$42*(K252-$B$43),$B$45),$B$44)</f>
        <v/>
      </c>
      <c r="L257" s="10" t="inlineStr">
        <is>
          <t>sensitivity x (SSS - breakeven), capped and floored</t>
        </is>
      </c>
    </row>
    <row r="258">
      <c r="A258" t="inlineStr">
        <is>
          <t>Legacy Boyd margin, excluding cost-program savings</t>
        </is>
      </c>
      <c r="D258" s="27">
        <f>$D$12/$D$7-$B$75*$B$34/$D$7</f>
        <v/>
      </c>
      <c r="F258" s="27">
        <f>D258+F257</f>
        <v/>
      </c>
      <c r="G258" s="27">
        <f>F258+G257</f>
        <v/>
      </c>
      <c r="H258" s="27">
        <f>G258+H257</f>
        <v/>
      </c>
      <c r="I258" s="27">
        <f>H258+I257</f>
        <v/>
      </c>
      <c r="J258" s="27">
        <f>I258+J257</f>
        <v/>
      </c>
      <c r="K258" s="27">
        <f>J258+K257</f>
        <v/>
      </c>
      <c r="L258" s="10" t="inlineStr">
        <is>
          <t>FY2025: reported margin less the retained share of the $40M already in FY2025 EBITDA</t>
        </is>
      </c>
    </row>
    <row r="259">
      <c r="A259" t="inlineStr">
        <is>
          <t>Joe Hudson's margin, excluding cost-program savings</t>
        </is>
      </c>
      <c r="F259" s="22">
        <f>$B$41</f>
        <v/>
      </c>
      <c r="G259" s="27">
        <f>$B$39+G257</f>
        <v/>
      </c>
      <c r="H259" s="27">
        <f>G259+H257</f>
        <v/>
      </c>
      <c r="I259" s="27">
        <f>H259+I257</f>
        <v/>
      </c>
      <c r="J259" s="27">
        <f>I259+J257</f>
        <v/>
      </c>
      <c r="K259" s="27">
        <f>J259+K257</f>
        <v/>
      </c>
    </row>
    <row r="260">
      <c r="A260" t="inlineStr">
        <is>
          <t>Retained cost-program savings</t>
        </is>
      </c>
      <c r="F260" s="24">
        <f>$B$75*F35</f>
        <v/>
      </c>
      <c r="G260" s="24">
        <f>$B$75*G35</f>
        <v/>
      </c>
      <c r="H260" s="24">
        <f>$B$75*H35</f>
        <v/>
      </c>
      <c r="I260" s="24">
        <f>$B$75*I35</f>
        <v/>
      </c>
      <c r="J260" s="24">
        <f>$B$75*J35</f>
        <v/>
      </c>
      <c r="K260" s="24">
        <f>$B$75*K35</f>
        <v/>
      </c>
    </row>
    <row r="261">
      <c r="A261" s="20" t="inlineStr">
        <is>
          <t>Existing-business Adjusted EBITDA</t>
        </is>
      </c>
      <c r="F261" s="25">
        <f>F258*F254+F259*F255+F260</f>
        <v/>
      </c>
      <c r="G261" s="25">
        <f>G258*G254+G259*G255+G260</f>
        <v/>
      </c>
      <c r="H261" s="25">
        <f>H258*H254+H259*H255+H260</f>
        <v/>
      </c>
      <c r="I261" s="25">
        <f>I258*I254+I259*I255+I260</f>
        <v/>
      </c>
      <c r="J261" s="25">
        <f>J258*J254+J259*J255+J260</f>
        <v/>
      </c>
      <c r="K261" s="25">
        <f>K258*K254+K259*K255+K260</f>
        <v/>
      </c>
    </row>
    <row r="262">
      <c r="A262" t="inlineStr">
        <is>
          <t xml:space="preserve">  margin</t>
        </is>
      </c>
      <c r="F262" s="26">
        <f>F261/F256</f>
        <v/>
      </c>
      <c r="G262" s="26">
        <f>G261/G256</f>
        <v/>
      </c>
      <c r="H262" s="26">
        <f>H261/H256</f>
        <v/>
      </c>
      <c r="I262" s="26">
        <f>I261/I256</f>
        <v/>
      </c>
      <c r="J262" s="26">
        <f>J261/J256</f>
        <v/>
      </c>
      <c r="K262" s="26">
        <f>K261/K256</f>
        <v/>
      </c>
    </row>
    <row r="263">
      <c r="A263" t="inlineStr">
        <is>
          <t>Existing-business cash rent</t>
        </is>
      </c>
      <c r="F263" s="24">
        <f>2*($F$13+$F$14+$F$15+$F$16)</f>
        <v/>
      </c>
      <c r="G263" s="24">
        <f>F263*(1+$B$77)</f>
        <v/>
      </c>
      <c r="H263" s="24">
        <f>G263*(1+$B$77)</f>
        <v/>
      </c>
      <c r="I263" s="24">
        <f>H263*(1+$B$77)</f>
        <v/>
      </c>
      <c r="J263" s="24">
        <f>I263*(1+$B$77)</f>
        <v/>
      </c>
      <c r="K263" s="24">
        <f>J263*(1+$B$77)</f>
        <v/>
      </c>
      <c r="L263" s="10" t="inlineStr">
        <is>
          <t>2026 = H1-2026 actual x2; then x (1 + escalator)</t>
        </is>
      </c>
    </row>
    <row r="264">
      <c r="A264" t="inlineStr">
        <is>
          <t xml:space="preserve">  rent % of existing sales</t>
        </is>
      </c>
      <c r="F264" s="27">
        <f>F263/F256</f>
        <v/>
      </c>
      <c r="G264" s="27">
        <f>G263/G256</f>
        <v/>
      </c>
      <c r="H264" s="27">
        <f>H263/H256</f>
        <v/>
      </c>
      <c r="I264" s="27">
        <f>I263/I256</f>
        <v/>
      </c>
      <c r="J264" s="27">
        <f>J263/J256</f>
        <v/>
      </c>
      <c r="K264" s="27">
        <f>K263/K256</f>
        <v/>
      </c>
    </row>
    <row r="265">
      <c r="A265" s="2" t="inlineStr">
        <is>
          <t>New-location cohorts: each column below is the cohort OPENED in that year.</t>
        </is>
      </c>
    </row>
    <row r="266">
      <c r="A266" t="inlineStr">
        <is>
          <t xml:space="preserve">  Tuck-ins opened</t>
        </is>
      </c>
      <c r="F266" s="30">
        <f>F73</f>
        <v/>
      </c>
      <c r="G266" s="30">
        <f>G73</f>
        <v/>
      </c>
      <c r="H266" s="30">
        <f>H73</f>
        <v/>
      </c>
      <c r="I266" s="30">
        <f>I73</f>
        <v/>
      </c>
      <c r="J266" s="30">
        <f>J73</f>
        <v/>
      </c>
      <c r="K266" s="30">
        <f>K73</f>
        <v/>
      </c>
    </row>
    <row r="267">
      <c r="A267" t="inlineStr">
        <is>
          <t xml:space="preserve">  Start-ups opened</t>
        </is>
      </c>
      <c r="F267" s="30">
        <f>F74</f>
        <v/>
      </c>
      <c r="G267" s="30">
        <f>G74</f>
        <v/>
      </c>
      <c r="H267" s="30">
        <f>H74</f>
        <v/>
      </c>
      <c r="I267" s="30">
        <f>I74</f>
        <v/>
      </c>
      <c r="J267" s="30">
        <f>J74</f>
        <v/>
      </c>
      <c r="K267" s="30">
        <f>K74</f>
        <v/>
      </c>
    </row>
    <row r="268">
      <c r="A268" t="inlineStr">
        <is>
          <t xml:space="preserve">  Cost inflation index</t>
        </is>
      </c>
      <c r="F268" s="29">
        <f>(1+$B$51)^(F248-$F$248)</f>
        <v/>
      </c>
      <c r="G268" s="29">
        <f>(1+$B$51)^(G248-$F$248)</f>
        <v/>
      </c>
      <c r="H268" s="29">
        <f>(1+$B$51)^(H248-$F$248)</f>
        <v/>
      </c>
      <c r="I268" s="29">
        <f>(1+$B$51)^(I248-$F$248)</f>
        <v/>
      </c>
      <c r="J268" s="29">
        <f>(1+$B$51)^(J248-$F$248)</f>
        <v/>
      </c>
      <c r="K268" s="29">
        <f>(1+$B$51)^(K248-$F$248)</f>
        <v/>
      </c>
    </row>
    <row r="269">
      <c r="A269" t="inlineStr">
        <is>
          <t xml:space="preserve">  Cohort cost = growth capex</t>
        </is>
      </c>
      <c r="F269" s="24">
        <f>(F266*$B$46+F267*$B$48)*F268</f>
        <v/>
      </c>
      <c r="G269" s="24">
        <f>(G266*$B$46+G267*$B$48)*G268</f>
        <v/>
      </c>
      <c r="H269" s="24">
        <f>(H266*$B$46+H267*$B$48)*H268</f>
        <v/>
      </c>
      <c r="I269" s="24">
        <f>(I266*$B$46+I267*$B$48)*I268</f>
        <v/>
      </c>
      <c r="J269" s="24">
        <f>(J266*$B$46+J267*$B$48)*J268</f>
        <v/>
      </c>
      <c r="K269" s="24">
        <f>(K266*$B$46+K267*$B$48)*K268</f>
        <v/>
      </c>
    </row>
    <row r="270">
      <c r="A270" t="inlineStr">
        <is>
          <t xml:space="preserve">  Cohort mature sales, 2025 prices</t>
        </is>
      </c>
      <c r="F270" s="24">
        <f>F266*$B$47+F267*$B$49</f>
        <v/>
      </c>
      <c r="G270" s="24">
        <f>G266*$B$47+G267*$B$49</f>
        <v/>
      </c>
      <c r="H270" s="24">
        <f>H266*$B$47+H267*$B$49</f>
        <v/>
      </c>
      <c r="I270" s="24">
        <f>I266*$B$47+I267*$B$49</f>
        <v/>
      </c>
      <c r="J270" s="24">
        <f>J266*$B$47+J267*$B$49</f>
        <v/>
      </c>
      <c r="K270" s="24">
        <f>K266*$B$47+K267*$B$49</f>
        <v/>
      </c>
    </row>
    <row r="271">
      <c r="A271" t="inlineStr">
        <is>
          <t xml:space="preserve">  Year cohort reaches maturity</t>
        </is>
      </c>
      <c r="F271" s="28">
        <f>F248+COUNT($B$50:$E$50)-1</f>
        <v/>
      </c>
      <c r="G271" s="28">
        <f>G248+COUNT($B$50:$E$50)-1</f>
        <v/>
      </c>
      <c r="H271" s="28">
        <f>H248+COUNT($B$50:$E$50)-1</f>
        <v/>
      </c>
      <c r="I271" s="28">
        <f>I248+COUNT($B$50:$E$50)-1</f>
        <v/>
      </c>
      <c r="J271" s="28">
        <f>J248+COUNT($B$50:$E$50)-1</f>
        <v/>
      </c>
      <c r="K271" s="28">
        <f>K248+COUNT($B$50:$E$50)-1</f>
        <v/>
      </c>
    </row>
    <row r="272">
      <c r="A272" s="2" t="inlineStr">
        <is>
          <t xml:space="preserve">  Ramp share: rows = cohort opened in year shown in column B; columns = calendar year.</t>
        </is>
      </c>
    </row>
    <row r="273">
      <c r="A273" t="inlineStr">
        <is>
          <t xml:space="preserve">    cohort</t>
        </is>
      </c>
      <c r="B273" s="31">
        <f>F248</f>
        <v/>
      </c>
      <c r="F273" s="29">
        <f>IF((F248-B273)&lt;0,0,INDEX($B$50:$E$50,MIN((F248-B273),COUNT($B$50:$E$50)-1)+1))</f>
        <v/>
      </c>
      <c r="G273" s="29">
        <f>IF((G248-B273)&lt;0,0,INDEX($B$50:$E$50,MIN((G248-B273),COUNT($B$50:$E$50)-1)+1))</f>
        <v/>
      </c>
      <c r="H273" s="29">
        <f>IF((H248-B273)&lt;0,0,INDEX($B$50:$E$50,MIN((H248-B273),COUNT($B$50:$E$50)-1)+1))</f>
        <v/>
      </c>
      <c r="I273" s="29">
        <f>IF((I248-B273)&lt;0,0,INDEX($B$50:$E$50,MIN((I248-B273),COUNT($B$50:$E$50)-1)+1))</f>
        <v/>
      </c>
      <c r="J273" s="29">
        <f>IF((J248-B273)&lt;0,0,INDEX($B$50:$E$50,MIN((J248-B273),COUNT($B$50:$E$50)-1)+1))</f>
        <v/>
      </c>
      <c r="K273" s="29">
        <f>IF((K248-B273)&lt;0,0,INDEX($B$50:$E$50,MIN((K248-B273),COUNT($B$50:$E$50)-1)+1))</f>
        <v/>
      </c>
    </row>
    <row r="274">
      <c r="A274" t="inlineStr">
        <is>
          <t xml:space="preserve">    cohort</t>
        </is>
      </c>
      <c r="B274" s="31">
        <f>G248</f>
        <v/>
      </c>
      <c r="F274" s="29">
        <f>IF((F248-B274)&lt;0,0,INDEX($B$50:$E$50,MIN((F248-B274),COUNT($B$50:$E$50)-1)+1))</f>
        <v/>
      </c>
      <c r="G274" s="29">
        <f>IF((G248-B274)&lt;0,0,INDEX($B$50:$E$50,MIN((G248-B274),COUNT($B$50:$E$50)-1)+1))</f>
        <v/>
      </c>
      <c r="H274" s="29">
        <f>IF((H248-B274)&lt;0,0,INDEX($B$50:$E$50,MIN((H248-B274),COUNT($B$50:$E$50)-1)+1))</f>
        <v/>
      </c>
      <c r="I274" s="29">
        <f>IF((I248-B274)&lt;0,0,INDEX($B$50:$E$50,MIN((I248-B274),COUNT($B$50:$E$50)-1)+1))</f>
        <v/>
      </c>
      <c r="J274" s="29">
        <f>IF((J248-B274)&lt;0,0,INDEX($B$50:$E$50,MIN((J248-B274),COUNT($B$50:$E$50)-1)+1))</f>
        <v/>
      </c>
      <c r="K274" s="29">
        <f>IF((K248-B274)&lt;0,0,INDEX($B$50:$E$50,MIN((K248-B274),COUNT($B$50:$E$50)-1)+1))</f>
        <v/>
      </c>
    </row>
    <row r="275">
      <c r="A275" t="inlineStr">
        <is>
          <t xml:space="preserve">    cohort</t>
        </is>
      </c>
      <c r="B275" s="31">
        <f>H248</f>
        <v/>
      </c>
      <c r="F275" s="29">
        <f>IF((F248-B275)&lt;0,0,INDEX($B$50:$E$50,MIN((F248-B275),COUNT($B$50:$E$50)-1)+1))</f>
        <v/>
      </c>
      <c r="G275" s="29">
        <f>IF((G248-B275)&lt;0,0,INDEX($B$50:$E$50,MIN((G248-B275),COUNT($B$50:$E$50)-1)+1))</f>
        <v/>
      </c>
      <c r="H275" s="29">
        <f>IF((H248-B275)&lt;0,0,INDEX($B$50:$E$50,MIN((H248-B275),COUNT($B$50:$E$50)-1)+1))</f>
        <v/>
      </c>
      <c r="I275" s="29">
        <f>IF((I248-B275)&lt;0,0,INDEX($B$50:$E$50,MIN((I248-B275),COUNT($B$50:$E$50)-1)+1))</f>
        <v/>
      </c>
      <c r="J275" s="29">
        <f>IF((J248-B275)&lt;0,0,INDEX($B$50:$E$50,MIN((J248-B275),COUNT($B$50:$E$50)-1)+1))</f>
        <v/>
      </c>
      <c r="K275" s="29">
        <f>IF((K248-B275)&lt;0,0,INDEX($B$50:$E$50,MIN((K248-B275),COUNT($B$50:$E$50)-1)+1))</f>
        <v/>
      </c>
    </row>
    <row r="276">
      <c r="A276" t="inlineStr">
        <is>
          <t xml:space="preserve">    cohort</t>
        </is>
      </c>
      <c r="B276" s="31">
        <f>I248</f>
        <v/>
      </c>
      <c r="F276" s="29">
        <f>IF((F248-B276)&lt;0,0,INDEX($B$50:$E$50,MIN((F248-B276),COUNT($B$50:$E$50)-1)+1))</f>
        <v/>
      </c>
      <c r="G276" s="29">
        <f>IF((G248-B276)&lt;0,0,INDEX($B$50:$E$50,MIN((G248-B276),COUNT($B$50:$E$50)-1)+1))</f>
        <v/>
      </c>
      <c r="H276" s="29">
        <f>IF((H248-B276)&lt;0,0,INDEX($B$50:$E$50,MIN((H248-B276),COUNT($B$50:$E$50)-1)+1))</f>
        <v/>
      </c>
      <c r="I276" s="29">
        <f>IF((I248-B276)&lt;0,0,INDEX($B$50:$E$50,MIN((I248-B276),COUNT($B$50:$E$50)-1)+1))</f>
        <v/>
      </c>
      <c r="J276" s="29">
        <f>IF((J248-B276)&lt;0,0,INDEX($B$50:$E$50,MIN((J248-B276),COUNT($B$50:$E$50)-1)+1))</f>
        <v/>
      </c>
      <c r="K276" s="29">
        <f>IF((K248-B276)&lt;0,0,INDEX($B$50:$E$50,MIN((K248-B276),COUNT($B$50:$E$50)-1)+1))</f>
        <v/>
      </c>
    </row>
    <row r="277">
      <c r="A277" t="inlineStr">
        <is>
          <t xml:space="preserve">    cohort</t>
        </is>
      </c>
      <c r="B277" s="31">
        <f>J248</f>
        <v/>
      </c>
      <c r="F277" s="29">
        <f>IF((F248-B277)&lt;0,0,INDEX($B$50:$E$50,MIN((F248-B277),COUNT($B$50:$E$50)-1)+1))</f>
        <v/>
      </c>
      <c r="G277" s="29">
        <f>IF((G248-B277)&lt;0,0,INDEX($B$50:$E$50,MIN((G248-B277),COUNT($B$50:$E$50)-1)+1))</f>
        <v/>
      </c>
      <c r="H277" s="29">
        <f>IF((H248-B277)&lt;0,0,INDEX($B$50:$E$50,MIN((H248-B277),COUNT($B$50:$E$50)-1)+1))</f>
        <v/>
      </c>
      <c r="I277" s="29">
        <f>IF((I248-B277)&lt;0,0,INDEX($B$50:$E$50,MIN((I248-B277),COUNT($B$50:$E$50)-1)+1))</f>
        <v/>
      </c>
      <c r="J277" s="29">
        <f>IF((J248-B277)&lt;0,0,INDEX($B$50:$E$50,MIN((J248-B277),COUNT($B$50:$E$50)-1)+1))</f>
        <v/>
      </c>
      <c r="K277" s="29">
        <f>IF((K248-B277)&lt;0,0,INDEX($B$50:$E$50,MIN((K248-B277),COUNT($B$50:$E$50)-1)+1))</f>
        <v/>
      </c>
    </row>
    <row r="278">
      <c r="A278" t="inlineStr">
        <is>
          <t xml:space="preserve">    cohort</t>
        </is>
      </c>
      <c r="B278" s="31">
        <f>K248</f>
        <v/>
      </c>
      <c r="F278" s="29">
        <f>IF((F248-B278)&lt;0,0,INDEX($B$50:$E$50,MIN((F248-B278),COUNT($B$50:$E$50)-1)+1))</f>
        <v/>
      </c>
      <c r="G278" s="29">
        <f>IF((G248-B278)&lt;0,0,INDEX($B$50:$E$50,MIN((G248-B278),COUNT($B$50:$E$50)-1)+1))</f>
        <v/>
      </c>
      <c r="H278" s="29">
        <f>IF((H248-B278)&lt;0,0,INDEX($B$50:$E$50,MIN((H248-B278),COUNT($B$50:$E$50)-1)+1))</f>
        <v/>
      </c>
      <c r="I278" s="29">
        <f>IF((I248-B278)&lt;0,0,INDEX($B$50:$E$50,MIN((I248-B278),COUNT($B$50:$E$50)-1)+1))</f>
        <v/>
      </c>
      <c r="J278" s="29">
        <f>IF((J248-B278)&lt;0,0,INDEX($B$50:$E$50,MIN((J248-B278),COUNT($B$50:$E$50)-1)+1))</f>
        <v/>
      </c>
      <c r="K278" s="29">
        <f>IF((K248-B278)&lt;0,0,INDEX($B$50:$E$50,MIN((K248-B278),COUNT($B$50:$E$50)-1)+1))</f>
        <v/>
      </c>
    </row>
    <row r="279">
      <c r="A279" s="2" t="inlineStr">
        <is>
          <t xml:space="preserve">  Growth since maturity (joins same-store base): rows = cohort opened in year shown in column B; columns = calendar year.</t>
        </is>
      </c>
    </row>
    <row r="280">
      <c r="A280" t="inlineStr">
        <is>
          <t xml:space="preserve">    cohort</t>
        </is>
      </c>
      <c r="B280" s="31">
        <f>F248</f>
        <v/>
      </c>
      <c r="F280" s="29">
        <f>IF(F248&gt;$F$271,F253/INDEX($F$253:$K$253,MIN($F$271-$F$248+1,6)),1)</f>
        <v/>
      </c>
      <c r="G280" s="29">
        <f>IF(G248&gt;$F$271,G253/INDEX($F$253:$K$253,MIN($F$271-$F$248+1,6)),1)</f>
        <v/>
      </c>
      <c r="H280" s="29">
        <f>IF(H248&gt;$F$271,H253/INDEX($F$253:$K$253,MIN($F$271-$F$248+1,6)),1)</f>
        <v/>
      </c>
      <c r="I280" s="29">
        <f>IF(I248&gt;$F$271,I253/INDEX($F$253:$K$253,MIN($F$271-$F$248+1,6)),1)</f>
        <v/>
      </c>
      <c r="J280" s="29">
        <f>IF(J248&gt;$F$271,J253/INDEX($F$253:$K$253,MIN($F$271-$F$248+1,6)),1)</f>
        <v/>
      </c>
      <c r="K280" s="29">
        <f>IF(K248&gt;$F$271,K253/INDEX($F$253:$K$253,MIN($F$271-$F$248+1,6)),1)</f>
        <v/>
      </c>
    </row>
    <row r="281">
      <c r="A281" t="inlineStr">
        <is>
          <t xml:space="preserve">    cohort</t>
        </is>
      </c>
      <c r="B281" s="31">
        <f>G248</f>
        <v/>
      </c>
      <c r="F281" s="29">
        <f>IF(F248&gt;$G$271,F253/INDEX($F$253:$K$253,MIN($G$271-$F$248+1,6)),1)</f>
        <v/>
      </c>
      <c r="G281" s="29">
        <f>IF(G248&gt;$G$271,G253/INDEX($F$253:$K$253,MIN($G$271-$F$248+1,6)),1)</f>
        <v/>
      </c>
      <c r="H281" s="29">
        <f>IF(H248&gt;$G$271,H253/INDEX($F$253:$K$253,MIN($G$271-$F$248+1,6)),1)</f>
        <v/>
      </c>
      <c r="I281" s="29">
        <f>IF(I248&gt;$G$271,I253/INDEX($F$253:$K$253,MIN($G$271-$F$248+1,6)),1)</f>
        <v/>
      </c>
      <c r="J281" s="29">
        <f>IF(J248&gt;$G$271,J253/INDEX($F$253:$K$253,MIN($G$271-$F$248+1,6)),1)</f>
        <v/>
      </c>
      <c r="K281" s="29">
        <f>IF(K248&gt;$G$271,K253/INDEX($F$253:$K$253,MIN($G$271-$F$248+1,6)),1)</f>
        <v/>
      </c>
    </row>
    <row r="282">
      <c r="A282" t="inlineStr">
        <is>
          <t xml:space="preserve">    cohort</t>
        </is>
      </c>
      <c r="B282" s="31">
        <f>H248</f>
        <v/>
      </c>
      <c r="F282" s="29">
        <f>IF(F248&gt;$H$271,F253/INDEX($F$253:$K$253,MIN($H$271-$F$248+1,6)),1)</f>
        <v/>
      </c>
      <c r="G282" s="29">
        <f>IF(G248&gt;$H$271,G253/INDEX($F$253:$K$253,MIN($H$271-$F$248+1,6)),1)</f>
        <v/>
      </c>
      <c r="H282" s="29">
        <f>IF(H248&gt;$H$271,H253/INDEX($F$253:$K$253,MIN($H$271-$F$248+1,6)),1)</f>
        <v/>
      </c>
      <c r="I282" s="29">
        <f>IF(I248&gt;$H$271,I253/INDEX($F$253:$K$253,MIN($H$271-$F$248+1,6)),1)</f>
        <v/>
      </c>
      <c r="J282" s="29">
        <f>IF(J248&gt;$H$271,J253/INDEX($F$253:$K$253,MIN($H$271-$F$248+1,6)),1)</f>
        <v/>
      </c>
      <c r="K282" s="29">
        <f>IF(K248&gt;$H$271,K253/INDEX($F$253:$K$253,MIN($H$271-$F$248+1,6)),1)</f>
        <v/>
      </c>
    </row>
    <row r="283">
      <c r="A283" t="inlineStr">
        <is>
          <t xml:space="preserve">    cohort</t>
        </is>
      </c>
      <c r="B283" s="31">
        <f>I248</f>
        <v/>
      </c>
      <c r="F283" s="29">
        <f>IF(F248&gt;$I$271,F253/INDEX($F$253:$K$253,MIN($I$271-$F$248+1,6)),1)</f>
        <v/>
      </c>
      <c r="G283" s="29">
        <f>IF(G248&gt;$I$271,G253/INDEX($F$253:$K$253,MIN($I$271-$F$248+1,6)),1)</f>
        <v/>
      </c>
      <c r="H283" s="29">
        <f>IF(H248&gt;$I$271,H253/INDEX($F$253:$K$253,MIN($I$271-$F$248+1,6)),1)</f>
        <v/>
      </c>
      <c r="I283" s="29">
        <f>IF(I248&gt;$I$271,I253/INDEX($F$253:$K$253,MIN($I$271-$F$248+1,6)),1)</f>
        <v/>
      </c>
      <c r="J283" s="29">
        <f>IF(J248&gt;$I$271,J253/INDEX($F$253:$K$253,MIN($I$271-$F$248+1,6)),1)</f>
        <v/>
      </c>
      <c r="K283" s="29">
        <f>IF(K248&gt;$I$271,K253/INDEX($F$253:$K$253,MIN($I$271-$F$248+1,6)),1)</f>
        <v/>
      </c>
    </row>
    <row r="284">
      <c r="A284" t="inlineStr">
        <is>
          <t xml:space="preserve">    cohort</t>
        </is>
      </c>
      <c r="B284" s="31">
        <f>J248</f>
        <v/>
      </c>
      <c r="F284" s="29">
        <f>IF(F248&gt;$J$271,F253/INDEX($F$253:$K$253,MIN($J$271-$F$248+1,6)),1)</f>
        <v/>
      </c>
      <c r="G284" s="29">
        <f>IF(G248&gt;$J$271,G253/INDEX($F$253:$K$253,MIN($J$271-$F$248+1,6)),1)</f>
        <v/>
      </c>
      <c r="H284" s="29">
        <f>IF(H248&gt;$J$271,H253/INDEX($F$253:$K$253,MIN($J$271-$F$248+1,6)),1)</f>
        <v/>
      </c>
      <c r="I284" s="29">
        <f>IF(I248&gt;$J$271,I253/INDEX($F$253:$K$253,MIN($J$271-$F$248+1,6)),1)</f>
        <v/>
      </c>
      <c r="J284" s="29">
        <f>IF(J248&gt;$J$271,J253/INDEX($F$253:$K$253,MIN($J$271-$F$248+1,6)),1)</f>
        <v/>
      </c>
      <c r="K284" s="29">
        <f>IF(K248&gt;$J$271,K253/INDEX($F$253:$K$253,MIN($J$271-$F$248+1,6)),1)</f>
        <v/>
      </c>
    </row>
    <row r="285">
      <c r="A285" t="inlineStr">
        <is>
          <t xml:space="preserve">    cohort</t>
        </is>
      </c>
      <c r="B285" s="31">
        <f>K248</f>
        <v/>
      </c>
      <c r="F285" s="29">
        <f>IF(F248&gt;$K$271,F253/INDEX($F$253:$K$253,MIN($K$271-$F$248+1,6)),1)</f>
        <v/>
      </c>
      <c r="G285" s="29">
        <f>IF(G248&gt;$K$271,G253/INDEX($F$253:$K$253,MIN($K$271-$F$248+1,6)),1)</f>
        <v/>
      </c>
      <c r="H285" s="29">
        <f>IF(H248&gt;$K$271,H253/INDEX($F$253:$K$253,MIN($K$271-$F$248+1,6)),1)</f>
        <v/>
      </c>
      <c r="I285" s="29">
        <f>IF(I248&gt;$K$271,I253/INDEX($F$253:$K$253,MIN($K$271-$F$248+1,6)),1)</f>
        <v/>
      </c>
      <c r="J285" s="29">
        <f>IF(J248&gt;$K$271,J253/INDEX($F$253:$K$253,MIN($K$271-$F$248+1,6)),1)</f>
        <v/>
      </c>
      <c r="K285" s="29">
        <f>IF(K248&gt;$K$271,K253/INDEX($F$253:$K$253,MIN($K$271-$F$248+1,6)),1)</f>
        <v/>
      </c>
    </row>
    <row r="286">
      <c r="A286" s="2" t="inlineStr">
        <is>
          <t xml:space="preserve">  Run-rate EBITDA after rent (as if fully ramped): rows = cohort opened in year shown in column B; columns = calendar year.</t>
        </is>
      </c>
    </row>
    <row r="287">
      <c r="A287" t="inlineStr">
        <is>
          <t xml:space="preserve">    cohort</t>
        </is>
      </c>
      <c r="B287" s="31">
        <f>F248</f>
        <v/>
      </c>
      <c r="F287" s="24">
        <f>IF(F248&gt;=B287,$B$78*$F$269*F280,0)</f>
        <v/>
      </c>
      <c r="G287" s="24">
        <f>IF(G248&gt;=B287,$B$78*$F$269*G280,0)</f>
        <v/>
      </c>
      <c r="H287" s="24">
        <f>IF(H248&gt;=B287,$B$78*$F$269*H280,0)</f>
        <v/>
      </c>
      <c r="I287" s="24">
        <f>IF(I248&gt;=B287,$B$78*$F$269*I280,0)</f>
        <v/>
      </c>
      <c r="J287" s="24">
        <f>IF(J248&gt;=B287,$B$78*$F$269*J280,0)</f>
        <v/>
      </c>
      <c r="K287" s="24">
        <f>IF(K248&gt;=B287,$B$78*$F$269*K280,0)</f>
        <v/>
      </c>
    </row>
    <row r="288">
      <c r="A288" t="inlineStr">
        <is>
          <t xml:space="preserve">    cohort</t>
        </is>
      </c>
      <c r="B288" s="31">
        <f>G248</f>
        <v/>
      </c>
      <c r="F288" s="24">
        <f>IF(F248&gt;=B288,$B$78*$G$269*F281,0)</f>
        <v/>
      </c>
      <c r="G288" s="24">
        <f>IF(G248&gt;=B288,$B$78*$G$269*G281,0)</f>
        <v/>
      </c>
      <c r="H288" s="24">
        <f>IF(H248&gt;=B288,$B$78*$G$269*H281,0)</f>
        <v/>
      </c>
      <c r="I288" s="24">
        <f>IF(I248&gt;=B288,$B$78*$G$269*I281,0)</f>
        <v/>
      </c>
      <c r="J288" s="24">
        <f>IF(J248&gt;=B288,$B$78*$G$269*J281,0)</f>
        <v/>
      </c>
      <c r="K288" s="24">
        <f>IF(K248&gt;=B288,$B$78*$G$269*K281,0)</f>
        <v/>
      </c>
    </row>
    <row r="289">
      <c r="A289" t="inlineStr">
        <is>
          <t xml:space="preserve">    cohort</t>
        </is>
      </c>
      <c r="B289" s="31">
        <f>H248</f>
        <v/>
      </c>
      <c r="F289" s="24">
        <f>IF(F248&gt;=B289,$B$78*$H$269*F282,0)</f>
        <v/>
      </c>
      <c r="G289" s="24">
        <f>IF(G248&gt;=B289,$B$78*$H$269*G282,0)</f>
        <v/>
      </c>
      <c r="H289" s="24">
        <f>IF(H248&gt;=B289,$B$78*$H$269*H282,0)</f>
        <v/>
      </c>
      <c r="I289" s="24">
        <f>IF(I248&gt;=B289,$B$78*$H$269*I282,0)</f>
        <v/>
      </c>
      <c r="J289" s="24">
        <f>IF(J248&gt;=B289,$B$78*$H$269*J282,0)</f>
        <v/>
      </c>
      <c r="K289" s="24">
        <f>IF(K248&gt;=B289,$B$78*$H$269*K282,0)</f>
        <v/>
      </c>
    </row>
    <row r="290">
      <c r="A290" t="inlineStr">
        <is>
          <t xml:space="preserve">    cohort</t>
        </is>
      </c>
      <c r="B290" s="31">
        <f>I248</f>
        <v/>
      </c>
      <c r="F290" s="24">
        <f>IF(F248&gt;=B290,$B$78*$I$269*F283,0)</f>
        <v/>
      </c>
      <c r="G290" s="24">
        <f>IF(G248&gt;=B290,$B$78*$I$269*G283,0)</f>
        <v/>
      </c>
      <c r="H290" s="24">
        <f>IF(H248&gt;=B290,$B$78*$I$269*H283,0)</f>
        <v/>
      </c>
      <c r="I290" s="24">
        <f>IF(I248&gt;=B290,$B$78*$I$269*I283,0)</f>
        <v/>
      </c>
      <c r="J290" s="24">
        <f>IF(J248&gt;=B290,$B$78*$I$269*J283,0)</f>
        <v/>
      </c>
      <c r="K290" s="24">
        <f>IF(K248&gt;=B290,$B$78*$I$269*K283,0)</f>
        <v/>
      </c>
    </row>
    <row r="291">
      <c r="A291" t="inlineStr">
        <is>
          <t xml:space="preserve">    cohort</t>
        </is>
      </c>
      <c r="B291" s="31">
        <f>J248</f>
        <v/>
      </c>
      <c r="F291" s="24">
        <f>IF(F248&gt;=B291,$B$78*$J$269*F284,0)</f>
        <v/>
      </c>
      <c r="G291" s="24">
        <f>IF(G248&gt;=B291,$B$78*$J$269*G284,0)</f>
        <v/>
      </c>
      <c r="H291" s="24">
        <f>IF(H248&gt;=B291,$B$78*$J$269*H284,0)</f>
        <v/>
      </c>
      <c r="I291" s="24">
        <f>IF(I248&gt;=B291,$B$78*$J$269*I284,0)</f>
        <v/>
      </c>
      <c r="J291" s="24">
        <f>IF(J248&gt;=B291,$B$78*$J$269*J284,0)</f>
        <v/>
      </c>
      <c r="K291" s="24">
        <f>IF(K248&gt;=B291,$B$78*$J$269*K284,0)</f>
        <v/>
      </c>
    </row>
    <row r="292">
      <c r="A292" t="inlineStr">
        <is>
          <t xml:space="preserve">    cohort</t>
        </is>
      </c>
      <c r="B292" s="31">
        <f>K248</f>
        <v/>
      </c>
      <c r="F292" s="24">
        <f>IF(F248&gt;=B292,$B$78*$K$269*F285,0)</f>
        <v/>
      </c>
      <c r="G292" s="24">
        <f>IF(G248&gt;=B292,$B$78*$K$269*G285,0)</f>
        <v/>
      </c>
      <c r="H292" s="24">
        <f>IF(H248&gt;=B292,$B$78*$K$269*H285,0)</f>
        <v/>
      </c>
      <c r="I292" s="24">
        <f>IF(I248&gt;=B292,$B$78*$K$269*I285,0)</f>
        <v/>
      </c>
      <c r="J292" s="24">
        <f>IF(J248&gt;=B292,$B$78*$K$269*J285,0)</f>
        <v/>
      </c>
      <c r="K292" s="24">
        <f>IF(K248&gt;=B292,$B$78*$K$269*K285,0)</f>
        <v/>
      </c>
    </row>
    <row r="293">
      <c r="A293" s="2" t="inlineStr">
        <is>
          <t xml:space="preserve">  Run-rate sales (as if fully ramped): rows = cohort opened in year shown in column B; columns = calendar year.</t>
        </is>
      </c>
    </row>
    <row r="294">
      <c r="A294" t="inlineStr">
        <is>
          <t xml:space="preserve">    cohort</t>
        </is>
      </c>
      <c r="B294" s="31">
        <f>F248</f>
        <v/>
      </c>
      <c r="F294" s="24">
        <f>IF(F248&gt;=B294,$F$270*F253,0)</f>
        <v/>
      </c>
      <c r="G294" s="24">
        <f>IF(G248&gt;=B294,$F$270*G253,0)</f>
        <v/>
      </c>
      <c r="H294" s="24">
        <f>IF(H248&gt;=B294,$F$270*H253,0)</f>
        <v/>
      </c>
      <c r="I294" s="24">
        <f>IF(I248&gt;=B294,$F$270*I253,0)</f>
        <v/>
      </c>
      <c r="J294" s="24">
        <f>IF(J248&gt;=B294,$F$270*J253,0)</f>
        <v/>
      </c>
      <c r="K294" s="24">
        <f>IF(K248&gt;=B294,$F$270*K253,0)</f>
        <v/>
      </c>
    </row>
    <row r="295">
      <c r="A295" t="inlineStr">
        <is>
          <t xml:space="preserve">    cohort</t>
        </is>
      </c>
      <c r="B295" s="31">
        <f>G248</f>
        <v/>
      </c>
      <c r="F295" s="24">
        <f>IF(F248&gt;=B295,$G$270*F253,0)</f>
        <v/>
      </c>
      <c r="G295" s="24">
        <f>IF(G248&gt;=B295,$G$270*G253,0)</f>
        <v/>
      </c>
      <c r="H295" s="24">
        <f>IF(H248&gt;=B295,$G$270*H253,0)</f>
        <v/>
      </c>
      <c r="I295" s="24">
        <f>IF(I248&gt;=B295,$G$270*I253,0)</f>
        <v/>
      </c>
      <c r="J295" s="24">
        <f>IF(J248&gt;=B295,$G$270*J253,0)</f>
        <v/>
      </c>
      <c r="K295" s="24">
        <f>IF(K248&gt;=B295,$G$270*K253,0)</f>
        <v/>
      </c>
    </row>
    <row r="296">
      <c r="A296" t="inlineStr">
        <is>
          <t xml:space="preserve">    cohort</t>
        </is>
      </c>
      <c r="B296" s="31">
        <f>H248</f>
        <v/>
      </c>
      <c r="F296" s="24">
        <f>IF(F248&gt;=B296,$H$270*F253,0)</f>
        <v/>
      </c>
      <c r="G296" s="24">
        <f>IF(G248&gt;=B296,$H$270*G253,0)</f>
        <v/>
      </c>
      <c r="H296" s="24">
        <f>IF(H248&gt;=B296,$H$270*H253,0)</f>
        <v/>
      </c>
      <c r="I296" s="24">
        <f>IF(I248&gt;=B296,$H$270*I253,0)</f>
        <v/>
      </c>
      <c r="J296" s="24">
        <f>IF(J248&gt;=B296,$H$270*J253,0)</f>
        <v/>
      </c>
      <c r="K296" s="24">
        <f>IF(K248&gt;=B296,$H$270*K253,0)</f>
        <v/>
      </c>
    </row>
    <row r="297">
      <c r="A297" t="inlineStr">
        <is>
          <t xml:space="preserve">    cohort</t>
        </is>
      </c>
      <c r="B297" s="31">
        <f>I248</f>
        <v/>
      </c>
      <c r="F297" s="24">
        <f>IF(F248&gt;=B297,$I$270*F253,0)</f>
        <v/>
      </c>
      <c r="G297" s="24">
        <f>IF(G248&gt;=B297,$I$270*G253,0)</f>
        <v/>
      </c>
      <c r="H297" s="24">
        <f>IF(H248&gt;=B297,$I$270*H253,0)</f>
        <v/>
      </c>
      <c r="I297" s="24">
        <f>IF(I248&gt;=B297,$I$270*I253,0)</f>
        <v/>
      </c>
      <c r="J297" s="24">
        <f>IF(J248&gt;=B297,$I$270*J253,0)</f>
        <v/>
      </c>
      <c r="K297" s="24">
        <f>IF(K248&gt;=B297,$I$270*K253,0)</f>
        <v/>
      </c>
    </row>
    <row r="298">
      <c r="A298" t="inlineStr">
        <is>
          <t xml:space="preserve">    cohort</t>
        </is>
      </c>
      <c r="B298" s="31">
        <f>J248</f>
        <v/>
      </c>
      <c r="F298" s="24">
        <f>IF(F248&gt;=B298,$J$270*F253,0)</f>
        <v/>
      </c>
      <c r="G298" s="24">
        <f>IF(G248&gt;=B298,$J$270*G253,0)</f>
        <v/>
      </c>
      <c r="H298" s="24">
        <f>IF(H248&gt;=B298,$J$270*H253,0)</f>
        <v/>
      </c>
      <c r="I298" s="24">
        <f>IF(I248&gt;=B298,$J$270*I253,0)</f>
        <v/>
      </c>
      <c r="J298" s="24">
        <f>IF(J248&gt;=B298,$J$270*J253,0)</f>
        <v/>
      </c>
      <c r="K298" s="24">
        <f>IF(K248&gt;=B298,$J$270*K253,0)</f>
        <v/>
      </c>
    </row>
    <row r="299">
      <c r="A299" t="inlineStr">
        <is>
          <t xml:space="preserve">    cohort</t>
        </is>
      </c>
      <c r="B299" s="31">
        <f>K248</f>
        <v/>
      </c>
      <c r="F299" s="24">
        <f>IF(F248&gt;=B299,$K$270*F253,0)</f>
        <v/>
      </c>
      <c r="G299" s="24">
        <f>IF(G248&gt;=B299,$K$270*G253,0)</f>
        <v/>
      </c>
      <c r="H299" s="24">
        <f>IF(H248&gt;=B299,$K$270*H253,0)</f>
        <v/>
      </c>
      <c r="I299" s="24">
        <f>IF(I248&gt;=B299,$K$270*I253,0)</f>
        <v/>
      </c>
      <c r="J299" s="24">
        <f>IF(J248&gt;=B299,$K$270*J253,0)</f>
        <v/>
      </c>
      <c r="K299" s="24">
        <f>IF(K248&gt;=B299,$K$270*K253,0)</f>
        <v/>
      </c>
    </row>
    <row r="300">
      <c r="A300" s="2" t="inlineStr">
        <is>
          <t xml:space="preserve">  EBITDA after rent = run-rate x ramp share: rows = cohort opened in year shown in column B; columns = calendar year.</t>
        </is>
      </c>
    </row>
    <row r="301">
      <c r="A301" t="inlineStr">
        <is>
          <t xml:space="preserve">    cohort</t>
        </is>
      </c>
      <c r="B301" s="31">
        <f>F248</f>
        <v/>
      </c>
      <c r="F301" s="24">
        <f>F287*F273</f>
        <v/>
      </c>
      <c r="G301" s="24">
        <f>G287*G273</f>
        <v/>
      </c>
      <c r="H301" s="24">
        <f>H287*H273</f>
        <v/>
      </c>
      <c r="I301" s="24">
        <f>I287*I273</f>
        <v/>
      </c>
      <c r="J301" s="24">
        <f>J287*J273</f>
        <v/>
      </c>
      <c r="K301" s="24">
        <f>K287*K273</f>
        <v/>
      </c>
    </row>
    <row r="302">
      <c r="A302" t="inlineStr">
        <is>
          <t xml:space="preserve">    cohort</t>
        </is>
      </c>
      <c r="B302" s="31">
        <f>G248</f>
        <v/>
      </c>
      <c r="F302" s="24">
        <f>F288*F274</f>
        <v/>
      </c>
      <c r="G302" s="24">
        <f>G288*G274</f>
        <v/>
      </c>
      <c r="H302" s="24">
        <f>H288*H274</f>
        <v/>
      </c>
      <c r="I302" s="24">
        <f>I288*I274</f>
        <v/>
      </c>
      <c r="J302" s="24">
        <f>J288*J274</f>
        <v/>
      </c>
      <c r="K302" s="24">
        <f>K288*K274</f>
        <v/>
      </c>
    </row>
    <row r="303">
      <c r="A303" t="inlineStr">
        <is>
          <t xml:space="preserve">    cohort</t>
        </is>
      </c>
      <c r="B303" s="31">
        <f>H248</f>
        <v/>
      </c>
      <c r="F303" s="24">
        <f>F289*F275</f>
        <v/>
      </c>
      <c r="G303" s="24">
        <f>G289*G275</f>
        <v/>
      </c>
      <c r="H303" s="24">
        <f>H289*H275</f>
        <v/>
      </c>
      <c r="I303" s="24">
        <f>I289*I275</f>
        <v/>
      </c>
      <c r="J303" s="24">
        <f>J289*J275</f>
        <v/>
      </c>
      <c r="K303" s="24">
        <f>K289*K275</f>
        <v/>
      </c>
    </row>
    <row r="304">
      <c r="A304" t="inlineStr">
        <is>
          <t xml:space="preserve">    cohort</t>
        </is>
      </c>
      <c r="B304" s="31">
        <f>I248</f>
        <v/>
      </c>
      <c r="F304" s="24">
        <f>F290*F276</f>
        <v/>
      </c>
      <c r="G304" s="24">
        <f>G290*G276</f>
        <v/>
      </c>
      <c r="H304" s="24">
        <f>H290*H276</f>
        <v/>
      </c>
      <c r="I304" s="24">
        <f>I290*I276</f>
        <v/>
      </c>
      <c r="J304" s="24">
        <f>J290*J276</f>
        <v/>
      </c>
      <c r="K304" s="24">
        <f>K290*K276</f>
        <v/>
      </c>
    </row>
    <row r="305">
      <c r="A305" t="inlineStr">
        <is>
          <t xml:space="preserve">    cohort</t>
        </is>
      </c>
      <c r="B305" s="31">
        <f>J248</f>
        <v/>
      </c>
      <c r="F305" s="24">
        <f>F291*F277</f>
        <v/>
      </c>
      <c r="G305" s="24">
        <f>G291*G277</f>
        <v/>
      </c>
      <c r="H305" s="24">
        <f>H291*H277</f>
        <v/>
      </c>
      <c r="I305" s="24">
        <f>I291*I277</f>
        <v/>
      </c>
      <c r="J305" s="24">
        <f>J291*J277</f>
        <v/>
      </c>
      <c r="K305" s="24">
        <f>K291*K277</f>
        <v/>
      </c>
    </row>
    <row r="306">
      <c r="A306" t="inlineStr">
        <is>
          <t xml:space="preserve">    cohort</t>
        </is>
      </c>
      <c r="B306" s="31">
        <f>K248</f>
        <v/>
      </c>
      <c r="F306" s="24">
        <f>F292*F278</f>
        <v/>
      </c>
      <c r="G306" s="24">
        <f>G292*G278</f>
        <v/>
      </c>
      <c r="H306" s="24">
        <f>H292*H278</f>
        <v/>
      </c>
      <c r="I306" s="24">
        <f>I292*I278</f>
        <v/>
      </c>
      <c r="J306" s="24">
        <f>J292*J278</f>
        <v/>
      </c>
      <c r="K306" s="24">
        <f>K292*K278</f>
        <v/>
      </c>
    </row>
    <row r="307">
      <c r="A307" s="2" t="inlineStr">
        <is>
          <t xml:space="preserve">  Sales = run-rate x ramp share: rows = cohort opened in year shown in column B; columns = calendar year.</t>
        </is>
      </c>
    </row>
    <row r="308">
      <c r="A308" t="inlineStr">
        <is>
          <t xml:space="preserve">    cohort</t>
        </is>
      </c>
      <c r="B308" s="31">
        <f>F248</f>
        <v/>
      </c>
      <c r="F308" s="24">
        <f>F294*F273</f>
        <v/>
      </c>
      <c r="G308" s="24">
        <f>G294*G273</f>
        <v/>
      </c>
      <c r="H308" s="24">
        <f>H294*H273</f>
        <v/>
      </c>
      <c r="I308" s="24">
        <f>I294*I273</f>
        <v/>
      </c>
      <c r="J308" s="24">
        <f>J294*J273</f>
        <v/>
      </c>
      <c r="K308" s="24">
        <f>K294*K273</f>
        <v/>
      </c>
    </row>
    <row r="309">
      <c r="A309" t="inlineStr">
        <is>
          <t xml:space="preserve">    cohort</t>
        </is>
      </c>
      <c r="B309" s="31">
        <f>G248</f>
        <v/>
      </c>
      <c r="F309" s="24">
        <f>F295*F274</f>
        <v/>
      </c>
      <c r="G309" s="24">
        <f>G295*G274</f>
        <v/>
      </c>
      <c r="H309" s="24">
        <f>H295*H274</f>
        <v/>
      </c>
      <c r="I309" s="24">
        <f>I295*I274</f>
        <v/>
      </c>
      <c r="J309" s="24">
        <f>J295*J274</f>
        <v/>
      </c>
      <c r="K309" s="24">
        <f>K295*K274</f>
        <v/>
      </c>
    </row>
    <row r="310">
      <c r="A310" t="inlineStr">
        <is>
          <t xml:space="preserve">    cohort</t>
        </is>
      </c>
      <c r="B310" s="31">
        <f>H248</f>
        <v/>
      </c>
      <c r="F310" s="24">
        <f>F296*F275</f>
        <v/>
      </c>
      <c r="G310" s="24">
        <f>G296*G275</f>
        <v/>
      </c>
      <c r="H310" s="24">
        <f>H296*H275</f>
        <v/>
      </c>
      <c r="I310" s="24">
        <f>I296*I275</f>
        <v/>
      </c>
      <c r="J310" s="24">
        <f>J296*J275</f>
        <v/>
      </c>
      <c r="K310" s="24">
        <f>K296*K275</f>
        <v/>
      </c>
    </row>
    <row r="311">
      <c r="A311" t="inlineStr">
        <is>
          <t xml:space="preserve">    cohort</t>
        </is>
      </c>
      <c r="B311" s="31">
        <f>I248</f>
        <v/>
      </c>
      <c r="F311" s="24">
        <f>F297*F276</f>
        <v/>
      </c>
      <c r="G311" s="24">
        <f>G297*G276</f>
        <v/>
      </c>
      <c r="H311" s="24">
        <f>H297*H276</f>
        <v/>
      </c>
      <c r="I311" s="24">
        <f>I297*I276</f>
        <v/>
      </c>
      <c r="J311" s="24">
        <f>J297*J276</f>
        <v/>
      </c>
      <c r="K311" s="24">
        <f>K297*K276</f>
        <v/>
      </c>
    </row>
    <row r="312">
      <c r="A312" t="inlineStr">
        <is>
          <t xml:space="preserve">    cohort</t>
        </is>
      </c>
      <c r="B312" s="31">
        <f>J248</f>
        <v/>
      </c>
      <c r="F312" s="24">
        <f>F298*F277</f>
        <v/>
      </c>
      <c r="G312" s="24">
        <f>G298*G277</f>
        <v/>
      </c>
      <c r="H312" s="24">
        <f>H298*H277</f>
        <v/>
      </c>
      <c r="I312" s="24">
        <f>I298*I277</f>
        <v/>
      </c>
      <c r="J312" s="24">
        <f>J298*J277</f>
        <v/>
      </c>
      <c r="K312" s="24">
        <f>K298*K277</f>
        <v/>
      </c>
    </row>
    <row r="313">
      <c r="A313" t="inlineStr">
        <is>
          <t xml:space="preserve">    cohort</t>
        </is>
      </c>
      <c r="B313" s="31">
        <f>K248</f>
        <v/>
      </c>
      <c r="F313" s="24">
        <f>F299*F278</f>
        <v/>
      </c>
      <c r="G313" s="24">
        <f>G299*G278</f>
        <v/>
      </c>
      <c r="H313" s="24">
        <f>H299*H278</f>
        <v/>
      </c>
      <c r="I313" s="24">
        <f>I299*I278</f>
        <v/>
      </c>
      <c r="J313" s="24">
        <f>J299*J278</f>
        <v/>
      </c>
      <c r="K313" s="24">
        <f>K299*K278</f>
        <v/>
      </c>
    </row>
    <row r="314">
      <c r="A314" t="inlineStr">
        <is>
          <t>New locations opened in year</t>
        </is>
      </c>
      <c r="F314" s="32">
        <f>F266+F267</f>
        <v/>
      </c>
      <c r="G314" s="32">
        <f>G266+G267</f>
        <v/>
      </c>
      <c r="H314" s="32">
        <f>H266+H267</f>
        <v/>
      </c>
      <c r="I314" s="32">
        <f>I266+I267</f>
        <v/>
      </c>
      <c r="J314" s="32">
        <f>J266+J267</f>
        <v/>
      </c>
      <c r="K314" s="32">
        <f>K266+K267</f>
        <v/>
      </c>
    </row>
    <row r="315">
      <c r="A315" t="inlineStr">
        <is>
          <t>New locations open, cumulative</t>
        </is>
      </c>
      <c r="F315" s="32">
        <f>F314</f>
        <v/>
      </c>
      <c r="G315" s="32">
        <f>F315+G314</f>
        <v/>
      </c>
      <c r="H315" s="32">
        <f>G315+H314</f>
        <v/>
      </c>
      <c r="I315" s="32">
        <f>H315+I314</f>
        <v/>
      </c>
      <c r="J315" s="32">
        <f>I315+J314</f>
        <v/>
      </c>
      <c r="K315" s="32">
        <f>J315+K314</f>
        <v/>
      </c>
    </row>
    <row r="316">
      <c r="A316" t="inlineStr">
        <is>
          <t>Growth capex (this year's cohort cost)</t>
        </is>
      </c>
      <c r="F316" s="24">
        <f>F269</f>
        <v/>
      </c>
      <c r="G316" s="24">
        <f>G269</f>
        <v/>
      </c>
      <c r="H316" s="24">
        <f>H269</f>
        <v/>
      </c>
      <c r="I316" s="24">
        <f>I269</f>
        <v/>
      </c>
      <c r="J316" s="24">
        <f>J269</f>
        <v/>
      </c>
      <c r="K316" s="24">
        <f>K269</f>
        <v/>
      </c>
    </row>
    <row r="317">
      <c r="A317" s="20" t="inlineStr">
        <is>
          <t>New-location EBITDA after rent</t>
        </is>
      </c>
      <c r="F317" s="25">
        <f>SUM(F301:F306)</f>
        <v/>
      </c>
      <c r="G317" s="25">
        <f>SUM(G301:G306)</f>
        <v/>
      </c>
      <c r="H317" s="25">
        <f>SUM(H301:H306)</f>
        <v/>
      </c>
      <c r="I317" s="25">
        <f>SUM(I301:I306)</f>
        <v/>
      </c>
      <c r="J317" s="25">
        <f>SUM(J301:J306)</f>
        <v/>
      </c>
      <c r="K317" s="25">
        <f>SUM(K301:K306)</f>
        <v/>
      </c>
    </row>
    <row r="318">
      <c r="A318" t="inlineStr">
        <is>
          <t>New-location sales</t>
        </is>
      </c>
      <c r="F318" s="24">
        <f>SUM(F308:F313)</f>
        <v/>
      </c>
      <c r="G318" s="24">
        <f>SUM(G308:G313)</f>
        <v/>
      </c>
      <c r="H318" s="24">
        <f>SUM(H308:H313)</f>
        <v/>
      </c>
      <c r="I318" s="24">
        <f>SUM(I308:I313)</f>
        <v/>
      </c>
      <c r="J318" s="24">
        <f>SUM(J308:J313)</f>
        <v/>
      </c>
      <c r="K318" s="24">
        <f>SUM(K308:K313)</f>
        <v/>
      </c>
    </row>
    <row r="319">
      <c r="A319" t="inlineStr">
        <is>
          <t>Memo: new-location run-rate EBITDA after rent</t>
        </is>
      </c>
      <c r="F319" s="24">
        <f>SUM(F287:F292)</f>
        <v/>
      </c>
      <c r="G319" s="24">
        <f>SUM(G287:G292)</f>
        <v/>
      </c>
      <c r="H319" s="24">
        <f>SUM(H287:H292)</f>
        <v/>
      </c>
      <c r="I319" s="24">
        <f>SUM(I287:I292)</f>
        <v/>
      </c>
      <c r="J319" s="24">
        <f>SUM(J287:J292)</f>
        <v/>
      </c>
      <c r="K319" s="24">
        <f>SUM(K287:K292)</f>
        <v/>
      </c>
    </row>
    <row r="320">
      <c r="A320" t="inlineStr">
        <is>
          <t>Memo: new-location run-rate sales</t>
        </is>
      </c>
      <c r="F320" s="24">
        <f>SUM(F294:F299)</f>
        <v/>
      </c>
      <c r="G320" s="24">
        <f>SUM(G294:G299)</f>
        <v/>
      </c>
      <c r="H320" s="24">
        <f>SUM(H294:H299)</f>
        <v/>
      </c>
      <c r="I320" s="24">
        <f>SUM(I294:I299)</f>
        <v/>
      </c>
      <c r="J320" s="24">
        <f>SUM(J294:J299)</f>
        <v/>
      </c>
      <c r="K320" s="24">
        <f>SUM(K294:K299)</f>
        <v/>
      </c>
    </row>
    <row r="321">
      <c r="A321" t="inlineStr">
        <is>
          <t>Memo: new-location rent (sales x network rent ratio)</t>
        </is>
      </c>
      <c r="F321" s="24">
        <f>F264*F318</f>
        <v/>
      </c>
      <c r="G321" s="24">
        <f>G264*G318</f>
        <v/>
      </c>
      <c r="H321" s="24">
        <f>H264*H318</f>
        <v/>
      </c>
      <c r="I321" s="24">
        <f>I264*I318</f>
        <v/>
      </c>
      <c r="J321" s="24">
        <f>J264*J318</f>
        <v/>
      </c>
      <c r="K321" s="24">
        <f>K264*K318</f>
        <v/>
      </c>
      <c r="L321" s="10" t="inlineStr">
        <is>
          <t>Presentation only: new-location earnings are modelled after rent</t>
        </is>
      </c>
    </row>
    <row r="322">
      <c r="A322" s="20" t="inlineStr">
        <is>
          <t>Total sales</t>
        </is>
      </c>
      <c r="F322" s="25">
        <f>F256+F318</f>
        <v/>
      </c>
      <c r="G322" s="25">
        <f>G256+G318</f>
        <v/>
      </c>
      <c r="H322" s="25">
        <f>H256+H318</f>
        <v/>
      </c>
      <c r="I322" s="25">
        <f>I256+I318</f>
        <v/>
      </c>
      <c r="J322" s="25">
        <f>J256+J318</f>
        <v/>
      </c>
      <c r="K322" s="25">
        <f>K256+K318</f>
        <v/>
      </c>
    </row>
    <row r="323">
      <c r="A323" t="inlineStr">
        <is>
          <t>Total Adjusted EBITDA (memo, pre-rent)</t>
        </is>
      </c>
      <c r="F323" s="24">
        <f>F261+F317+F321</f>
        <v/>
      </c>
      <c r="G323" s="24">
        <f>G261+G317+G321</f>
        <v/>
      </c>
      <c r="H323" s="24">
        <f>H261+H317+H321</f>
        <v/>
      </c>
      <c r="I323" s="24">
        <f>I261+I317+I321</f>
        <v/>
      </c>
      <c r="J323" s="24">
        <f>J261+J317+J321</f>
        <v/>
      </c>
      <c r="K323" s="24">
        <f>K261+K317+K321</f>
        <v/>
      </c>
    </row>
    <row r="324">
      <c r="A324" s="20" t="inlineStr">
        <is>
          <t>EBITDA after rent</t>
        </is>
      </c>
      <c r="F324" s="25">
        <f>F261-F263+F317</f>
        <v/>
      </c>
      <c r="G324" s="25">
        <f>G261-G263+G317</f>
        <v/>
      </c>
      <c r="H324" s="25">
        <f>H261-H263+H317</f>
        <v/>
      </c>
      <c r="I324" s="25">
        <f>I261-I263+I317</f>
        <v/>
      </c>
      <c r="J324" s="25">
        <f>J261-J263+J317</f>
        <v/>
      </c>
      <c r="K324" s="25">
        <f>K261-K263+K317</f>
        <v/>
      </c>
    </row>
    <row r="325">
      <c r="A325" t="inlineStr">
        <is>
          <t>Maintenance capex</t>
        </is>
      </c>
      <c r="F325" s="24">
        <f>$B$76*F322</f>
        <v/>
      </c>
      <c r="G325" s="24">
        <f>$B$76*G322</f>
        <v/>
      </c>
      <c r="H325" s="24">
        <f>$B$76*H322</f>
        <v/>
      </c>
      <c r="I325" s="24">
        <f>$B$76*I322</f>
        <v/>
      </c>
      <c r="J325" s="24">
        <f>$B$76*J322</f>
        <v/>
      </c>
      <c r="K325" s="24">
        <f>$B$76*K322</f>
        <v/>
      </c>
    </row>
    <row r="326">
      <c r="A326" t="inlineStr">
        <is>
          <t>Software capex</t>
        </is>
      </c>
      <c r="F326" s="24">
        <f>$B$52*F322</f>
        <v/>
      </c>
      <c r="G326" s="24">
        <f>$B$52*G322</f>
        <v/>
      </c>
      <c r="H326" s="24">
        <f>$B$52*H322</f>
        <v/>
      </c>
      <c r="I326" s="24">
        <f>$B$52*I322</f>
        <v/>
      </c>
      <c r="J326" s="24">
        <f>$B$52*J322</f>
        <v/>
      </c>
      <c r="K326" s="24">
        <f>$B$52*K322</f>
        <v/>
      </c>
    </row>
    <row r="327">
      <c r="A327" t="inlineStr">
        <is>
          <t>Normalized acquisition cost</t>
        </is>
      </c>
      <c r="F327" s="18">
        <f>$B$53</f>
        <v/>
      </c>
      <c r="G327" s="18">
        <f>$B$53</f>
        <v/>
      </c>
      <c r="H327" s="18">
        <f>$B$53</f>
        <v/>
      </c>
      <c r="I327" s="18">
        <f>$B$53</f>
        <v/>
      </c>
      <c r="J327" s="18">
        <f>$B$53</f>
        <v/>
      </c>
      <c r="K327" s="18">
        <f>$B$53</f>
        <v/>
      </c>
    </row>
    <row r="328">
      <c r="A328" t="inlineStr">
        <is>
          <t>Pre-tax Owners' Earnings</t>
        </is>
      </c>
      <c r="F328" s="24">
        <f>F324-F325-F326-F327</f>
        <v/>
      </c>
      <c r="G328" s="24">
        <f>G324-G325-G326-G327</f>
        <v/>
      </c>
      <c r="H328" s="24">
        <f>H324-H325-H326-H327</f>
        <v/>
      </c>
      <c r="I328" s="24">
        <f>I324-I325-I326-I327</f>
        <v/>
      </c>
      <c r="J328" s="24">
        <f>J324-J325-J326-J327</f>
        <v/>
      </c>
      <c r="K328" s="24">
        <f>K324-K325-K326-K327</f>
        <v/>
      </c>
    </row>
    <row r="329">
      <c r="A329" s="20" t="inlineStr">
        <is>
          <t>Owners' Earnings</t>
        </is>
      </c>
      <c r="F329" s="25">
        <f>F328*(1-$B$54)</f>
        <v/>
      </c>
      <c r="G329" s="25">
        <f>G328*(1-$B$54)</f>
        <v/>
      </c>
      <c r="H329" s="25">
        <f>H328*(1-$B$54)</f>
        <v/>
      </c>
      <c r="I329" s="25">
        <f>I328*(1-$B$54)</f>
        <v/>
      </c>
      <c r="J329" s="25">
        <f>J328*(1-$B$54)</f>
        <v/>
      </c>
      <c r="K329" s="25">
        <f>K328*(1-$B$54)</f>
        <v/>
      </c>
    </row>
    <row r="330">
      <c r="A330" t="inlineStr">
        <is>
          <t>Maintenance + software capex rate</t>
        </is>
      </c>
      <c r="B330" s="27">
        <f>B76+$B$52</f>
        <v/>
      </c>
    </row>
    <row r="331">
      <c r="A331" t="inlineStr">
        <is>
          <t xml:space="preserve">  OE from existing business</t>
        </is>
      </c>
      <c r="F331" s="24">
        <f>(F261-F263-$B$330*F256-F327)*(1-$B$54)</f>
        <v/>
      </c>
      <c r="G331" s="24">
        <f>(G261-G263-$B$330*G256-G327)*(1-$B$54)</f>
        <v/>
      </c>
      <c r="H331" s="24">
        <f>(H261-H263-$B$330*H256-H327)*(1-$B$54)</f>
        <v/>
      </c>
      <c r="I331" s="24">
        <f>(I261-I263-$B$330*I256-I327)*(1-$B$54)</f>
        <v/>
      </c>
      <c r="J331" s="24">
        <f>(J261-J263-$B$330*J256-J327)*(1-$B$54)</f>
        <v/>
      </c>
      <c r="K331" s="24">
        <f>(K261-K263-$B$330*K256-K327)*(1-$B$54)</f>
        <v/>
      </c>
    </row>
    <row r="332">
      <c r="A332" t="inlineStr">
        <is>
          <t xml:space="preserve">  OE from new locations</t>
        </is>
      </c>
      <c r="F332" s="24">
        <f>(F317-$B$330*F318)*(1-$B$54)</f>
        <v/>
      </c>
      <c r="G332" s="24">
        <f>(G317-$B$330*G318)*(1-$B$54)</f>
        <v/>
      </c>
      <c r="H332" s="24">
        <f>(H317-$B$330*H318)*(1-$B$54)</f>
        <v/>
      </c>
      <c r="I332" s="24">
        <f>(I317-$B$330*I318)*(1-$B$54)</f>
        <v/>
      </c>
      <c r="J332" s="24">
        <f>(J317-$B$330*J318)*(1-$B$54)</f>
        <v/>
      </c>
      <c r="K332" s="24">
        <f>(K317-$B$330*K318)*(1-$B$54)</f>
        <v/>
      </c>
    </row>
    <row r="333">
      <c r="A333" t="inlineStr">
        <is>
          <t xml:space="preserve">  Memo: new-location OE if all cohorts were mature</t>
        </is>
      </c>
      <c r="F333" s="24">
        <f>(F319-$B$330*F320)*(1-$B$54)</f>
        <v/>
      </c>
      <c r="G333" s="24">
        <f>(G319-$B$330*G320)*(1-$B$54)</f>
        <v/>
      </c>
      <c r="H333" s="24">
        <f>(H319-$B$330*H320)*(1-$B$54)</f>
        <v/>
      </c>
      <c r="I333" s="24">
        <f>(I319-$B$330*I320)*(1-$B$54)</f>
        <v/>
      </c>
      <c r="J333" s="24">
        <f>(J319-$B$330*J320)*(1-$B$54)</f>
        <v/>
      </c>
      <c r="K333" s="24">
        <f>(K319-$B$330*K320)*(1-$B$54)</f>
        <v/>
      </c>
    </row>
    <row r="334">
      <c r="A334" t="inlineStr">
        <is>
          <t xml:space="preserve">  Memo: OE still ramping</t>
        </is>
      </c>
      <c r="F334" s="24">
        <f>F333-F332</f>
        <v/>
      </c>
      <c r="G334" s="24">
        <f>G333-G332</f>
        <v/>
      </c>
      <c r="H334" s="24">
        <f>H333-H332</f>
        <v/>
      </c>
      <c r="I334" s="24">
        <f>I333-I332</f>
        <v/>
      </c>
      <c r="J334" s="24">
        <f>J333-J332</f>
        <v/>
      </c>
      <c r="K334" s="24">
        <f>K333-K332</f>
        <v/>
      </c>
    </row>
    <row r="335">
      <c r="A335" t="inlineStr">
        <is>
          <t>One-off integration costs (after tax)</t>
        </is>
      </c>
      <c r="F335" s="24">
        <f>$F$59*(($B$55-$B$56)*(1-$B$54)+($B$57-$B$58))</f>
        <v/>
      </c>
      <c r="G335" s="24">
        <f>$G$59*(($B$55-$B$56)*(1-$B$54)+($B$57-$B$58))</f>
        <v/>
      </c>
      <c r="H335" s="24">
        <f>$H$59*(($B$55-$B$56)*(1-$B$54)+($B$57-$B$58))</f>
        <v/>
      </c>
      <c r="I335" s="24">
        <f>$I$59*(($B$55-$B$56)*(1-$B$54)+($B$57-$B$58))</f>
        <v/>
      </c>
      <c r="J335" s="24">
        <f>$J$59*(($B$55-$B$56)*(1-$B$54)+($B$57-$B$58))</f>
        <v/>
      </c>
      <c r="K335" s="24">
        <f>$K$59*(($B$55-$B$56)*(1-$B$54)+($B$57-$B$58))</f>
        <v/>
      </c>
    </row>
    <row r="336">
      <c r="A336" s="20" t="inlineStr">
        <is>
          <t>Distributable cash = OE - growth capex - one-offs</t>
        </is>
      </c>
      <c r="F336" s="25">
        <f>F329-F316-F335</f>
        <v/>
      </c>
      <c r="G336" s="25">
        <f>G329-G316-G335</f>
        <v/>
      </c>
      <c r="H336" s="25">
        <f>H329-H316-H335</f>
        <v/>
      </c>
      <c r="I336" s="25">
        <f>I329-I316-I335</f>
        <v/>
      </c>
      <c r="J336" s="25">
        <f>J329-J316-J335</f>
        <v/>
      </c>
      <c r="K336" s="25">
        <f>K329-K316-K335</f>
        <v/>
      </c>
    </row>
    <row r="337">
      <c r="A337" t="inlineStr">
        <is>
          <t>Cash after after-tax interest and dividends</t>
        </is>
      </c>
      <c r="F337" s="24">
        <f>F336-$B$61*(1-$B$54)-$B$62</f>
        <v/>
      </c>
      <c r="G337" s="24">
        <f>G336-$B$61*(1-$B$54)-$B$62</f>
        <v/>
      </c>
      <c r="H337" s="24">
        <f>H336-$B$61*(1-$B$54)-$B$62</f>
        <v/>
      </c>
      <c r="I337" s="24">
        <f>I336-$B$61*(1-$B$54)-$B$62</f>
        <v/>
      </c>
      <c r="J337" s="24">
        <f>J336-$B$61*(1-$B$54)-$B$62</f>
        <v/>
      </c>
      <c r="K337" s="24">
        <f>K336-$B$61*(1-$B$54)-$B$62</f>
        <v/>
      </c>
    </row>
    <row r="338">
      <c r="A338" t="inlineStr">
        <is>
          <t>Net debt ex-leases, period end</t>
        </is>
      </c>
      <c r="E338" s="18">
        <f>$B$60</f>
        <v/>
      </c>
      <c r="F338" s="24">
        <f>E338-F337*$B$63</f>
        <v/>
      </c>
      <c r="G338" s="24">
        <f>F338-G337</f>
        <v/>
      </c>
      <c r="H338" s="24">
        <f>G338-H337</f>
        <v/>
      </c>
      <c r="I338" s="24">
        <f>H338-I337</f>
        <v/>
      </c>
      <c r="J338" s="24">
        <f>I338-J337</f>
        <v/>
      </c>
      <c r="K338" s="24">
        <f>J338-K337</f>
        <v/>
      </c>
    </row>
    <row r="339">
      <c r="A339" t="inlineStr">
        <is>
          <t>Net debt / EBITDA after rent</t>
        </is>
      </c>
      <c r="F339" s="33">
        <f>F338/F324</f>
        <v/>
      </c>
      <c r="G339" s="33">
        <f>G338/G324</f>
        <v/>
      </c>
      <c r="H339" s="33">
        <f>H338/H324</f>
        <v/>
      </c>
      <c r="I339" s="33">
        <f>I338/I324</f>
        <v/>
      </c>
      <c r="J339" s="33">
        <f>J338/J324</f>
        <v/>
      </c>
      <c r="K339" s="33">
        <f>K338/K324</f>
        <v/>
      </c>
    </row>
    <row r="341">
      <c r="A341" s="7" t="inlineStr">
        <is>
          <t>4. Forecast workings - Base</t>
        </is>
      </c>
      <c r="B341" s="8" t="inlineStr"/>
      <c r="C341" s="8" t="inlineStr"/>
      <c r="D341" s="8" t="inlineStr">
        <is>
          <t>FY2025</t>
        </is>
      </c>
      <c r="E341" s="8" t="inlineStr">
        <is>
          <t>Jun-2026</t>
        </is>
      </c>
      <c r="F341" s="8" t="inlineStr">
        <is>
          <t>2026E</t>
        </is>
      </c>
      <c r="G341" s="8" t="inlineStr">
        <is>
          <t>2027E</t>
        </is>
      </c>
      <c r="H341" s="8" t="inlineStr">
        <is>
          <t>2028E</t>
        </is>
      </c>
      <c r="I341" s="8" t="inlineStr">
        <is>
          <t>2029E</t>
        </is>
      </c>
      <c r="J341" s="8" t="inlineStr">
        <is>
          <t>2030E</t>
        </is>
      </c>
      <c r="K341" s="8" t="inlineStr">
        <is>
          <t>2031E</t>
        </is>
      </c>
      <c r="L341" s="7" t="inlineStr">
        <is>
          <t>Source / explanation</t>
        </is>
      </c>
    </row>
    <row r="342">
      <c r="A342" t="inlineStr">
        <is>
          <t>Fiscal year</t>
        </is>
      </c>
      <c r="D342" s="28">
        <f>2025</f>
        <v/>
      </c>
      <c r="F342" s="28">
        <f>D342+1</f>
        <v/>
      </c>
      <c r="G342" s="28">
        <f>F342+1</f>
        <v/>
      </c>
      <c r="H342" s="28">
        <f>G342+1</f>
        <v/>
      </c>
      <c r="I342" s="28">
        <f>H342+1</f>
        <v/>
      </c>
      <c r="J342" s="28">
        <f>I342+1</f>
        <v/>
      </c>
      <c r="K342" s="28">
        <f>J342+1</f>
        <v/>
      </c>
    </row>
    <row r="343">
      <c r="A343" t="inlineStr">
        <is>
          <t xml:space="preserve">  Claims volume (pp)</t>
        </is>
      </c>
      <c r="F343" s="23">
        <f>F80</f>
        <v/>
      </c>
      <c r="G343" s="23">
        <f>G80</f>
        <v/>
      </c>
      <c r="H343" s="23">
        <f>H80</f>
        <v/>
      </c>
      <c r="I343" s="23">
        <f>I80</f>
        <v/>
      </c>
      <c r="J343" s="23">
        <f>J80</f>
        <v/>
      </c>
      <c r="K343" s="23">
        <f>K80</f>
        <v/>
      </c>
    </row>
    <row r="344">
      <c r="A344" t="inlineStr">
        <is>
          <t xml:space="preserve">  Avg repair cost (pp)</t>
        </is>
      </c>
      <c r="F344" s="23">
        <f>F81</f>
        <v/>
      </c>
      <c r="G344" s="23">
        <f>G81</f>
        <v/>
      </c>
      <c r="H344" s="23">
        <f>H81</f>
        <v/>
      </c>
      <c r="I344" s="23">
        <f>I81</f>
        <v/>
      </c>
      <c r="J344" s="23">
        <f>J81</f>
        <v/>
      </c>
      <c r="K344" s="23">
        <f>K81</f>
        <v/>
      </c>
    </row>
    <row r="345">
      <c r="A345" t="inlineStr">
        <is>
          <t xml:space="preserve">  Share gain (pp)</t>
        </is>
      </c>
      <c r="F345" s="23">
        <f>F82</f>
        <v/>
      </c>
      <c r="G345" s="23">
        <f>G82</f>
        <v/>
      </c>
      <c r="H345" s="23">
        <f>H82</f>
        <v/>
      </c>
      <c r="I345" s="23">
        <f>I82</f>
        <v/>
      </c>
      <c r="J345" s="23">
        <f>J82</f>
        <v/>
      </c>
      <c r="K345" s="23">
        <f>K82</f>
        <v/>
      </c>
    </row>
    <row r="346">
      <c r="A346" t="inlineStr">
        <is>
          <t>Same-store sales growth</t>
        </is>
      </c>
      <c r="F346" s="26">
        <f>(F343+F344+F345)/100</f>
        <v/>
      </c>
      <c r="G346" s="26">
        <f>(G343+G344+G345)/100</f>
        <v/>
      </c>
      <c r="H346" s="26">
        <f>(H343+H344+H345)/100</f>
        <v/>
      </c>
      <c r="I346" s="26">
        <f>(I343+I344+I345)/100</f>
        <v/>
      </c>
      <c r="J346" s="26">
        <f>(J343+J344+J345)/100</f>
        <v/>
      </c>
      <c r="K346" s="26">
        <f>(K343+K344+K345)/100</f>
        <v/>
      </c>
      <c r="L346" s="10" t="inlineStr">
        <is>
          <t>Claims volume + average repair cost + share gain</t>
        </is>
      </c>
    </row>
    <row r="347">
      <c r="A347" t="inlineStr">
        <is>
          <t>Price / volume index vs FY2025 (cumulative SSS)</t>
        </is>
      </c>
      <c r="D347" s="29">
        <f>1</f>
        <v/>
      </c>
      <c r="F347" s="29">
        <f>D347*(1+F346)</f>
        <v/>
      </c>
      <c r="G347" s="29">
        <f>F347*(1+G346)</f>
        <v/>
      </c>
      <c r="H347" s="29">
        <f>G347*(1+H346)</f>
        <v/>
      </c>
      <c r="I347" s="29">
        <f>H347*(1+I346)</f>
        <v/>
      </c>
      <c r="J347" s="29">
        <f>I347*(1+J346)</f>
        <v/>
      </c>
      <c r="K347" s="29">
        <f>J347*(1+K346)</f>
        <v/>
      </c>
    </row>
    <row r="348">
      <c r="A348" t="inlineStr">
        <is>
          <t>Legacy Boyd sales (all locations open at Dec-2025)</t>
        </is>
      </c>
      <c r="D348" s="18">
        <f>$B$33</f>
        <v/>
      </c>
      <c r="F348" s="24">
        <f>D348*(1+F346)</f>
        <v/>
      </c>
      <c r="G348" s="24">
        <f>F348*(1+G346)</f>
        <v/>
      </c>
      <c r="H348" s="24">
        <f>G348*(1+H346)</f>
        <v/>
      </c>
      <c r="I348" s="24">
        <f>H348*(1+I346)</f>
        <v/>
      </c>
      <c r="J348" s="24">
        <f>I348*(1+J346)</f>
        <v/>
      </c>
      <c r="K348" s="24">
        <f>J348*(1+K346)</f>
        <v/>
      </c>
      <c r="L348" s="10" t="inlineStr">
        <is>
          <t>FY2025 pro-forma sales grown with SSS</t>
        </is>
      </c>
    </row>
    <row r="349">
      <c r="A349" t="inlineStr">
        <is>
          <t>Joe Hudson's sales</t>
        </is>
      </c>
      <c r="F349" s="18">
        <f>$B$40</f>
        <v/>
      </c>
      <c r="G349" s="24">
        <f>$B$38*(1+G346)</f>
        <v/>
      </c>
      <c r="H349" s="24">
        <f>G349*(1+H346)</f>
        <v/>
      </c>
      <c r="I349" s="24">
        <f>H349*(1+I346)</f>
        <v/>
      </c>
      <c r="J349" s="24">
        <f>I349*(1+J346)</f>
        <v/>
      </c>
      <c r="K349" s="24">
        <f>J349*(1+K346)</f>
        <v/>
      </c>
      <c r="L349" s="10" t="inlineStr">
        <is>
          <t>2026 disrupted; 2027 back to pre-deal run rate x (1+SSS)</t>
        </is>
      </c>
    </row>
    <row r="350">
      <c r="A350" s="20" t="inlineStr">
        <is>
          <t>Existing-business sales</t>
        </is>
      </c>
      <c r="F350" s="25">
        <f>F348+F349</f>
        <v/>
      </c>
      <c r="G350" s="25">
        <f>G348+G349</f>
        <v/>
      </c>
      <c r="H350" s="25">
        <f>H348+H349</f>
        <v/>
      </c>
      <c r="I350" s="25">
        <f>I348+I349</f>
        <v/>
      </c>
      <c r="J350" s="25">
        <f>J348+J349</f>
        <v/>
      </c>
      <c r="K350" s="25">
        <f>K348+K349</f>
        <v/>
      </c>
    </row>
    <row r="351">
      <c r="A351" t="inlineStr">
        <is>
          <t>Margin change from operating leverage</t>
        </is>
      </c>
      <c r="F351" s="27">
        <f>MIN(MAX($B$42*(F346-$B$43),$B$45),$B$44)</f>
        <v/>
      </c>
      <c r="G351" s="27">
        <f>MIN(MAX($B$42*(G346-$B$43),$B$45),$B$44)</f>
        <v/>
      </c>
      <c r="H351" s="27">
        <f>MIN(MAX($B$42*(H346-$B$43),$B$45),$B$44)</f>
        <v/>
      </c>
      <c r="I351" s="27">
        <f>MIN(MAX($B$42*(I346-$B$43),$B$45),$B$44)</f>
        <v/>
      </c>
      <c r="J351" s="27">
        <f>MIN(MAX($B$42*(J346-$B$43),$B$45),$B$44)</f>
        <v/>
      </c>
      <c r="K351" s="27">
        <f>MIN(MAX($B$42*(K346-$B$43),$B$45),$B$44)</f>
        <v/>
      </c>
      <c r="L351" s="10" t="inlineStr">
        <is>
          <t>sensitivity x (SSS - breakeven), capped and floored</t>
        </is>
      </c>
    </row>
    <row r="352">
      <c r="A352" t="inlineStr">
        <is>
          <t>Legacy Boyd margin, excluding cost-program savings</t>
        </is>
      </c>
      <c r="D352" s="27">
        <f>$D$12/$D$7-$B$85*$B$34/$D$7</f>
        <v/>
      </c>
      <c r="F352" s="27">
        <f>D352+F351</f>
        <v/>
      </c>
      <c r="G352" s="27">
        <f>F352+G351</f>
        <v/>
      </c>
      <c r="H352" s="27">
        <f>G352+H351</f>
        <v/>
      </c>
      <c r="I352" s="27">
        <f>H352+I351</f>
        <v/>
      </c>
      <c r="J352" s="27">
        <f>I352+J351</f>
        <v/>
      </c>
      <c r="K352" s="27">
        <f>J352+K351</f>
        <v/>
      </c>
      <c r="L352" s="10" t="inlineStr">
        <is>
          <t>FY2025: reported margin less the retained share of the $40M already in FY2025 EBITDA</t>
        </is>
      </c>
    </row>
    <row r="353">
      <c r="A353" t="inlineStr">
        <is>
          <t>Joe Hudson's margin, excluding cost-program savings</t>
        </is>
      </c>
      <c r="F353" s="22">
        <f>$B$41</f>
        <v/>
      </c>
      <c r="G353" s="27">
        <f>$B$39+G351</f>
        <v/>
      </c>
      <c r="H353" s="27">
        <f>G353+H351</f>
        <v/>
      </c>
      <c r="I353" s="27">
        <f>H353+I351</f>
        <v/>
      </c>
      <c r="J353" s="27">
        <f>I353+J351</f>
        <v/>
      </c>
      <c r="K353" s="27">
        <f>J353+K351</f>
        <v/>
      </c>
    </row>
    <row r="354">
      <c r="A354" t="inlineStr">
        <is>
          <t>Retained cost-program savings</t>
        </is>
      </c>
      <c r="F354" s="24">
        <f>$B$85*F35</f>
        <v/>
      </c>
      <c r="G354" s="24">
        <f>$B$85*G35</f>
        <v/>
      </c>
      <c r="H354" s="24">
        <f>$B$85*H35</f>
        <v/>
      </c>
      <c r="I354" s="24">
        <f>$B$85*I35</f>
        <v/>
      </c>
      <c r="J354" s="24">
        <f>$B$85*J35</f>
        <v/>
      </c>
      <c r="K354" s="24">
        <f>$B$85*K35</f>
        <v/>
      </c>
    </row>
    <row r="355">
      <c r="A355" s="20" t="inlineStr">
        <is>
          <t>Existing-business Adjusted EBITDA</t>
        </is>
      </c>
      <c r="F355" s="25">
        <f>F352*F348+F353*F349+F354</f>
        <v/>
      </c>
      <c r="G355" s="25">
        <f>G352*G348+G353*G349+G354</f>
        <v/>
      </c>
      <c r="H355" s="25">
        <f>H352*H348+H353*H349+H354</f>
        <v/>
      </c>
      <c r="I355" s="25">
        <f>I352*I348+I353*I349+I354</f>
        <v/>
      </c>
      <c r="J355" s="25">
        <f>J352*J348+J353*J349+J354</f>
        <v/>
      </c>
      <c r="K355" s="25">
        <f>K352*K348+K353*K349+K354</f>
        <v/>
      </c>
    </row>
    <row r="356">
      <c r="A356" t="inlineStr">
        <is>
          <t xml:space="preserve">  margin</t>
        </is>
      </c>
      <c r="F356" s="26">
        <f>F355/F350</f>
        <v/>
      </c>
      <c r="G356" s="26">
        <f>G355/G350</f>
        <v/>
      </c>
      <c r="H356" s="26">
        <f>H355/H350</f>
        <v/>
      </c>
      <c r="I356" s="26">
        <f>I355/I350</f>
        <v/>
      </c>
      <c r="J356" s="26">
        <f>J355/J350</f>
        <v/>
      </c>
      <c r="K356" s="26">
        <f>K355/K350</f>
        <v/>
      </c>
    </row>
    <row r="357">
      <c r="A357" t="inlineStr">
        <is>
          <t>Existing-business cash rent</t>
        </is>
      </c>
      <c r="F357" s="24">
        <f>2*($F$13+$F$14+$F$15+$F$16)</f>
        <v/>
      </c>
      <c r="G357" s="24">
        <f>F357*(1+$B$87)</f>
        <v/>
      </c>
      <c r="H357" s="24">
        <f>G357*(1+$B$87)</f>
        <v/>
      </c>
      <c r="I357" s="24">
        <f>H357*(1+$B$87)</f>
        <v/>
      </c>
      <c r="J357" s="24">
        <f>I357*(1+$B$87)</f>
        <v/>
      </c>
      <c r="K357" s="24">
        <f>J357*(1+$B$87)</f>
        <v/>
      </c>
      <c r="L357" s="10" t="inlineStr">
        <is>
          <t>2026 = H1-2026 actual x2; then x (1 + escalator)</t>
        </is>
      </c>
    </row>
    <row r="358">
      <c r="A358" t="inlineStr">
        <is>
          <t xml:space="preserve">  rent % of existing sales</t>
        </is>
      </c>
      <c r="F358" s="27">
        <f>F357/F350</f>
        <v/>
      </c>
      <c r="G358" s="27">
        <f>G357/G350</f>
        <v/>
      </c>
      <c r="H358" s="27">
        <f>H357/H350</f>
        <v/>
      </c>
      <c r="I358" s="27">
        <f>I357/I350</f>
        <v/>
      </c>
      <c r="J358" s="27">
        <f>J357/J350</f>
        <v/>
      </c>
      <c r="K358" s="27">
        <f>K357/K350</f>
        <v/>
      </c>
    </row>
    <row r="359">
      <c r="A359" s="2" t="inlineStr">
        <is>
          <t>New-location cohorts: each column below is the cohort OPENED in that year.</t>
        </is>
      </c>
    </row>
    <row r="360">
      <c r="A360" t="inlineStr">
        <is>
          <t xml:space="preserve">  Tuck-ins opened</t>
        </is>
      </c>
      <c r="F360" s="30">
        <f>F83</f>
        <v/>
      </c>
      <c r="G360" s="30">
        <f>G83</f>
        <v/>
      </c>
      <c r="H360" s="30">
        <f>H83</f>
        <v/>
      </c>
      <c r="I360" s="30">
        <f>I83</f>
        <v/>
      </c>
      <c r="J360" s="30">
        <f>J83</f>
        <v/>
      </c>
      <c r="K360" s="30">
        <f>K83</f>
        <v/>
      </c>
    </row>
    <row r="361">
      <c r="A361" t="inlineStr">
        <is>
          <t xml:space="preserve">  Start-ups opened</t>
        </is>
      </c>
      <c r="F361" s="30">
        <f>F84</f>
        <v/>
      </c>
      <c r="G361" s="30">
        <f>G84</f>
        <v/>
      </c>
      <c r="H361" s="30">
        <f>H84</f>
        <v/>
      </c>
      <c r="I361" s="30">
        <f>I84</f>
        <v/>
      </c>
      <c r="J361" s="30">
        <f>J84</f>
        <v/>
      </c>
      <c r="K361" s="30">
        <f>K84</f>
        <v/>
      </c>
    </row>
    <row r="362">
      <c r="A362" t="inlineStr">
        <is>
          <t xml:space="preserve">  Cost inflation index</t>
        </is>
      </c>
      <c r="F362" s="29">
        <f>(1+$B$51)^(F342-$F$342)</f>
        <v/>
      </c>
      <c r="G362" s="29">
        <f>(1+$B$51)^(G342-$F$342)</f>
        <v/>
      </c>
      <c r="H362" s="29">
        <f>(1+$B$51)^(H342-$F$342)</f>
        <v/>
      </c>
      <c r="I362" s="29">
        <f>(1+$B$51)^(I342-$F$342)</f>
        <v/>
      </c>
      <c r="J362" s="29">
        <f>(1+$B$51)^(J342-$F$342)</f>
        <v/>
      </c>
      <c r="K362" s="29">
        <f>(1+$B$51)^(K342-$F$342)</f>
        <v/>
      </c>
    </row>
    <row r="363">
      <c r="A363" t="inlineStr">
        <is>
          <t xml:space="preserve">  Cohort cost = growth capex</t>
        </is>
      </c>
      <c r="F363" s="24">
        <f>(F360*$B$46+F361*$B$48)*F362</f>
        <v/>
      </c>
      <c r="G363" s="24">
        <f>(G360*$B$46+G361*$B$48)*G362</f>
        <v/>
      </c>
      <c r="H363" s="24">
        <f>(H360*$B$46+H361*$B$48)*H362</f>
        <v/>
      </c>
      <c r="I363" s="24">
        <f>(I360*$B$46+I361*$B$48)*I362</f>
        <v/>
      </c>
      <c r="J363" s="24">
        <f>(J360*$B$46+J361*$B$48)*J362</f>
        <v/>
      </c>
      <c r="K363" s="24">
        <f>(K360*$B$46+K361*$B$48)*K362</f>
        <v/>
      </c>
    </row>
    <row r="364">
      <c r="A364" t="inlineStr">
        <is>
          <t xml:space="preserve">  Cohort mature sales, 2025 prices</t>
        </is>
      </c>
      <c r="F364" s="24">
        <f>F360*$B$47+F361*$B$49</f>
        <v/>
      </c>
      <c r="G364" s="24">
        <f>G360*$B$47+G361*$B$49</f>
        <v/>
      </c>
      <c r="H364" s="24">
        <f>H360*$B$47+H361*$B$49</f>
        <v/>
      </c>
      <c r="I364" s="24">
        <f>I360*$B$47+I361*$B$49</f>
        <v/>
      </c>
      <c r="J364" s="24">
        <f>J360*$B$47+J361*$B$49</f>
        <v/>
      </c>
      <c r="K364" s="24">
        <f>K360*$B$47+K361*$B$49</f>
        <v/>
      </c>
    </row>
    <row r="365">
      <c r="A365" t="inlineStr">
        <is>
          <t xml:space="preserve">  Year cohort reaches maturity</t>
        </is>
      </c>
      <c r="F365" s="28">
        <f>F342+COUNT($B$50:$E$50)-1</f>
        <v/>
      </c>
      <c r="G365" s="28">
        <f>G342+COUNT($B$50:$E$50)-1</f>
        <v/>
      </c>
      <c r="H365" s="28">
        <f>H342+COUNT($B$50:$E$50)-1</f>
        <v/>
      </c>
      <c r="I365" s="28">
        <f>I342+COUNT($B$50:$E$50)-1</f>
        <v/>
      </c>
      <c r="J365" s="28">
        <f>J342+COUNT($B$50:$E$50)-1</f>
        <v/>
      </c>
      <c r="K365" s="28">
        <f>K342+COUNT($B$50:$E$50)-1</f>
        <v/>
      </c>
    </row>
    <row r="366">
      <c r="A366" s="2" t="inlineStr">
        <is>
          <t xml:space="preserve">  Ramp share: rows = cohort opened in year shown in column B; columns = calendar year.</t>
        </is>
      </c>
    </row>
    <row r="367">
      <c r="A367" t="inlineStr">
        <is>
          <t xml:space="preserve">    cohort</t>
        </is>
      </c>
      <c r="B367" s="31">
        <f>F342</f>
        <v/>
      </c>
      <c r="F367" s="29">
        <f>IF((F342-B367)&lt;0,0,INDEX($B$50:$E$50,MIN((F342-B367),COUNT($B$50:$E$50)-1)+1))</f>
        <v/>
      </c>
      <c r="G367" s="29">
        <f>IF((G342-B367)&lt;0,0,INDEX($B$50:$E$50,MIN((G342-B367),COUNT($B$50:$E$50)-1)+1))</f>
        <v/>
      </c>
      <c r="H367" s="29">
        <f>IF((H342-B367)&lt;0,0,INDEX($B$50:$E$50,MIN((H342-B367),COUNT($B$50:$E$50)-1)+1))</f>
        <v/>
      </c>
      <c r="I367" s="29">
        <f>IF((I342-B367)&lt;0,0,INDEX($B$50:$E$50,MIN((I342-B367),COUNT($B$50:$E$50)-1)+1))</f>
        <v/>
      </c>
      <c r="J367" s="29">
        <f>IF((J342-B367)&lt;0,0,INDEX($B$50:$E$50,MIN((J342-B367),COUNT($B$50:$E$50)-1)+1))</f>
        <v/>
      </c>
      <c r="K367" s="29">
        <f>IF((K342-B367)&lt;0,0,INDEX($B$50:$E$50,MIN((K342-B367),COUNT($B$50:$E$50)-1)+1))</f>
        <v/>
      </c>
    </row>
    <row r="368">
      <c r="A368" t="inlineStr">
        <is>
          <t xml:space="preserve">    cohort</t>
        </is>
      </c>
      <c r="B368" s="31">
        <f>G342</f>
        <v/>
      </c>
      <c r="F368" s="29">
        <f>IF((F342-B368)&lt;0,0,INDEX($B$50:$E$50,MIN((F342-B368),COUNT($B$50:$E$50)-1)+1))</f>
        <v/>
      </c>
      <c r="G368" s="29">
        <f>IF((G342-B368)&lt;0,0,INDEX($B$50:$E$50,MIN((G342-B368),COUNT($B$50:$E$50)-1)+1))</f>
        <v/>
      </c>
      <c r="H368" s="29">
        <f>IF((H342-B368)&lt;0,0,INDEX($B$50:$E$50,MIN((H342-B368),COUNT($B$50:$E$50)-1)+1))</f>
        <v/>
      </c>
      <c r="I368" s="29">
        <f>IF((I342-B368)&lt;0,0,INDEX($B$50:$E$50,MIN((I342-B368),COUNT($B$50:$E$50)-1)+1))</f>
        <v/>
      </c>
      <c r="J368" s="29">
        <f>IF((J342-B368)&lt;0,0,INDEX($B$50:$E$50,MIN((J342-B368),COUNT($B$50:$E$50)-1)+1))</f>
        <v/>
      </c>
      <c r="K368" s="29">
        <f>IF((K342-B368)&lt;0,0,INDEX($B$50:$E$50,MIN((K342-B368),COUNT($B$50:$E$50)-1)+1))</f>
        <v/>
      </c>
    </row>
    <row r="369">
      <c r="A369" t="inlineStr">
        <is>
          <t xml:space="preserve">    cohort</t>
        </is>
      </c>
      <c r="B369" s="31">
        <f>H342</f>
        <v/>
      </c>
      <c r="F369" s="29">
        <f>IF((F342-B369)&lt;0,0,INDEX($B$50:$E$50,MIN((F342-B369),COUNT($B$50:$E$50)-1)+1))</f>
        <v/>
      </c>
      <c r="G369" s="29">
        <f>IF((G342-B369)&lt;0,0,INDEX($B$50:$E$50,MIN((G342-B369),COUNT($B$50:$E$50)-1)+1))</f>
        <v/>
      </c>
      <c r="H369" s="29">
        <f>IF((H342-B369)&lt;0,0,INDEX($B$50:$E$50,MIN((H342-B369),COUNT($B$50:$E$50)-1)+1))</f>
        <v/>
      </c>
      <c r="I369" s="29">
        <f>IF((I342-B369)&lt;0,0,INDEX($B$50:$E$50,MIN((I342-B369),COUNT($B$50:$E$50)-1)+1))</f>
        <v/>
      </c>
      <c r="J369" s="29">
        <f>IF((J342-B369)&lt;0,0,INDEX($B$50:$E$50,MIN((J342-B369),COUNT($B$50:$E$50)-1)+1))</f>
        <v/>
      </c>
      <c r="K369" s="29">
        <f>IF((K342-B369)&lt;0,0,INDEX($B$50:$E$50,MIN((K342-B369),COUNT($B$50:$E$50)-1)+1))</f>
        <v/>
      </c>
    </row>
    <row r="370">
      <c r="A370" t="inlineStr">
        <is>
          <t xml:space="preserve">    cohort</t>
        </is>
      </c>
      <c r="B370" s="31">
        <f>I342</f>
        <v/>
      </c>
      <c r="F370" s="29">
        <f>IF((F342-B370)&lt;0,0,INDEX($B$50:$E$50,MIN((F342-B370),COUNT($B$50:$E$50)-1)+1))</f>
        <v/>
      </c>
      <c r="G370" s="29">
        <f>IF((G342-B370)&lt;0,0,INDEX($B$50:$E$50,MIN((G342-B370),COUNT($B$50:$E$50)-1)+1))</f>
        <v/>
      </c>
      <c r="H370" s="29">
        <f>IF((H342-B370)&lt;0,0,INDEX($B$50:$E$50,MIN((H342-B370),COUNT($B$50:$E$50)-1)+1))</f>
        <v/>
      </c>
      <c r="I370" s="29">
        <f>IF((I342-B370)&lt;0,0,INDEX($B$50:$E$50,MIN((I342-B370),COUNT($B$50:$E$50)-1)+1))</f>
        <v/>
      </c>
      <c r="J370" s="29">
        <f>IF((J342-B370)&lt;0,0,INDEX($B$50:$E$50,MIN((J342-B370),COUNT($B$50:$E$50)-1)+1))</f>
        <v/>
      </c>
      <c r="K370" s="29">
        <f>IF((K342-B370)&lt;0,0,INDEX($B$50:$E$50,MIN((K342-B370),COUNT($B$50:$E$50)-1)+1))</f>
        <v/>
      </c>
    </row>
    <row r="371">
      <c r="A371" t="inlineStr">
        <is>
          <t xml:space="preserve">    cohort</t>
        </is>
      </c>
      <c r="B371" s="31">
        <f>J342</f>
        <v/>
      </c>
      <c r="F371" s="29">
        <f>IF((F342-B371)&lt;0,0,INDEX($B$50:$E$50,MIN((F342-B371),COUNT($B$50:$E$50)-1)+1))</f>
        <v/>
      </c>
      <c r="G371" s="29">
        <f>IF((G342-B371)&lt;0,0,INDEX($B$50:$E$50,MIN((G342-B371),COUNT($B$50:$E$50)-1)+1))</f>
        <v/>
      </c>
      <c r="H371" s="29">
        <f>IF((H342-B371)&lt;0,0,INDEX($B$50:$E$50,MIN((H342-B371),COUNT($B$50:$E$50)-1)+1))</f>
        <v/>
      </c>
      <c r="I371" s="29">
        <f>IF((I342-B371)&lt;0,0,INDEX($B$50:$E$50,MIN((I342-B371),COUNT($B$50:$E$50)-1)+1))</f>
        <v/>
      </c>
      <c r="J371" s="29">
        <f>IF((J342-B371)&lt;0,0,INDEX($B$50:$E$50,MIN((J342-B371),COUNT($B$50:$E$50)-1)+1))</f>
        <v/>
      </c>
      <c r="K371" s="29">
        <f>IF((K342-B371)&lt;0,0,INDEX($B$50:$E$50,MIN((K342-B371),COUNT($B$50:$E$50)-1)+1))</f>
        <v/>
      </c>
    </row>
    <row r="372">
      <c r="A372" t="inlineStr">
        <is>
          <t xml:space="preserve">    cohort</t>
        </is>
      </c>
      <c r="B372" s="31">
        <f>K342</f>
        <v/>
      </c>
      <c r="F372" s="29">
        <f>IF((F342-B372)&lt;0,0,INDEX($B$50:$E$50,MIN((F342-B372),COUNT($B$50:$E$50)-1)+1))</f>
        <v/>
      </c>
      <c r="G372" s="29">
        <f>IF((G342-B372)&lt;0,0,INDEX($B$50:$E$50,MIN((G342-B372),COUNT($B$50:$E$50)-1)+1))</f>
        <v/>
      </c>
      <c r="H372" s="29">
        <f>IF((H342-B372)&lt;0,0,INDEX($B$50:$E$50,MIN((H342-B372),COUNT($B$50:$E$50)-1)+1))</f>
        <v/>
      </c>
      <c r="I372" s="29">
        <f>IF((I342-B372)&lt;0,0,INDEX($B$50:$E$50,MIN((I342-B372),COUNT($B$50:$E$50)-1)+1))</f>
        <v/>
      </c>
      <c r="J372" s="29">
        <f>IF((J342-B372)&lt;0,0,INDEX($B$50:$E$50,MIN((J342-B372),COUNT($B$50:$E$50)-1)+1))</f>
        <v/>
      </c>
      <c r="K372" s="29">
        <f>IF((K342-B372)&lt;0,0,INDEX($B$50:$E$50,MIN((K342-B372),COUNT($B$50:$E$50)-1)+1))</f>
        <v/>
      </c>
    </row>
    <row r="373">
      <c r="A373" s="2" t="inlineStr">
        <is>
          <t xml:space="preserve">  Growth since maturity (joins same-store base): rows = cohort opened in year shown in column B; columns = calendar year.</t>
        </is>
      </c>
    </row>
    <row r="374">
      <c r="A374" t="inlineStr">
        <is>
          <t xml:space="preserve">    cohort</t>
        </is>
      </c>
      <c r="B374" s="31">
        <f>F342</f>
        <v/>
      </c>
      <c r="F374" s="29">
        <f>IF(F342&gt;$F$365,F347/INDEX($F$347:$K$347,MIN($F$365-$F$342+1,6)),1)</f>
        <v/>
      </c>
      <c r="G374" s="29">
        <f>IF(G342&gt;$F$365,G347/INDEX($F$347:$K$347,MIN($F$365-$F$342+1,6)),1)</f>
        <v/>
      </c>
      <c r="H374" s="29">
        <f>IF(H342&gt;$F$365,H347/INDEX($F$347:$K$347,MIN($F$365-$F$342+1,6)),1)</f>
        <v/>
      </c>
      <c r="I374" s="29">
        <f>IF(I342&gt;$F$365,I347/INDEX($F$347:$K$347,MIN($F$365-$F$342+1,6)),1)</f>
        <v/>
      </c>
      <c r="J374" s="29">
        <f>IF(J342&gt;$F$365,J347/INDEX($F$347:$K$347,MIN($F$365-$F$342+1,6)),1)</f>
        <v/>
      </c>
      <c r="K374" s="29">
        <f>IF(K342&gt;$F$365,K347/INDEX($F$347:$K$347,MIN($F$365-$F$342+1,6)),1)</f>
        <v/>
      </c>
    </row>
    <row r="375">
      <c r="A375" t="inlineStr">
        <is>
          <t xml:space="preserve">    cohort</t>
        </is>
      </c>
      <c r="B375" s="31">
        <f>G342</f>
        <v/>
      </c>
      <c r="F375" s="29">
        <f>IF(F342&gt;$G$365,F347/INDEX($F$347:$K$347,MIN($G$365-$F$342+1,6)),1)</f>
        <v/>
      </c>
      <c r="G375" s="29">
        <f>IF(G342&gt;$G$365,G347/INDEX($F$347:$K$347,MIN($G$365-$F$342+1,6)),1)</f>
        <v/>
      </c>
      <c r="H375" s="29">
        <f>IF(H342&gt;$G$365,H347/INDEX($F$347:$K$347,MIN($G$365-$F$342+1,6)),1)</f>
        <v/>
      </c>
      <c r="I375" s="29">
        <f>IF(I342&gt;$G$365,I347/INDEX($F$347:$K$347,MIN($G$365-$F$342+1,6)),1)</f>
        <v/>
      </c>
      <c r="J375" s="29">
        <f>IF(J342&gt;$G$365,J347/INDEX($F$347:$K$347,MIN($G$365-$F$342+1,6)),1)</f>
        <v/>
      </c>
      <c r="K375" s="29">
        <f>IF(K342&gt;$G$365,K347/INDEX($F$347:$K$347,MIN($G$365-$F$342+1,6)),1)</f>
        <v/>
      </c>
    </row>
    <row r="376">
      <c r="A376" t="inlineStr">
        <is>
          <t xml:space="preserve">    cohort</t>
        </is>
      </c>
      <c r="B376" s="31">
        <f>H342</f>
        <v/>
      </c>
      <c r="F376" s="29">
        <f>IF(F342&gt;$H$365,F347/INDEX($F$347:$K$347,MIN($H$365-$F$342+1,6)),1)</f>
        <v/>
      </c>
      <c r="G376" s="29">
        <f>IF(G342&gt;$H$365,G347/INDEX($F$347:$K$347,MIN($H$365-$F$342+1,6)),1)</f>
        <v/>
      </c>
      <c r="H376" s="29">
        <f>IF(H342&gt;$H$365,H347/INDEX($F$347:$K$347,MIN($H$365-$F$342+1,6)),1)</f>
        <v/>
      </c>
      <c r="I376" s="29">
        <f>IF(I342&gt;$H$365,I347/INDEX($F$347:$K$347,MIN($H$365-$F$342+1,6)),1)</f>
        <v/>
      </c>
      <c r="J376" s="29">
        <f>IF(J342&gt;$H$365,J347/INDEX($F$347:$K$347,MIN($H$365-$F$342+1,6)),1)</f>
        <v/>
      </c>
      <c r="K376" s="29">
        <f>IF(K342&gt;$H$365,K347/INDEX($F$347:$K$347,MIN($H$365-$F$342+1,6)),1)</f>
        <v/>
      </c>
    </row>
    <row r="377">
      <c r="A377" t="inlineStr">
        <is>
          <t xml:space="preserve">    cohort</t>
        </is>
      </c>
      <c r="B377" s="31">
        <f>I342</f>
        <v/>
      </c>
      <c r="F377" s="29">
        <f>IF(F342&gt;$I$365,F347/INDEX($F$347:$K$347,MIN($I$365-$F$342+1,6)),1)</f>
        <v/>
      </c>
      <c r="G377" s="29">
        <f>IF(G342&gt;$I$365,G347/INDEX($F$347:$K$347,MIN($I$365-$F$342+1,6)),1)</f>
        <v/>
      </c>
      <c r="H377" s="29">
        <f>IF(H342&gt;$I$365,H347/INDEX($F$347:$K$347,MIN($I$365-$F$342+1,6)),1)</f>
        <v/>
      </c>
      <c r="I377" s="29">
        <f>IF(I342&gt;$I$365,I347/INDEX($F$347:$K$347,MIN($I$365-$F$342+1,6)),1)</f>
        <v/>
      </c>
      <c r="J377" s="29">
        <f>IF(J342&gt;$I$365,J347/INDEX($F$347:$K$347,MIN($I$365-$F$342+1,6)),1)</f>
        <v/>
      </c>
      <c r="K377" s="29">
        <f>IF(K342&gt;$I$365,K347/INDEX($F$347:$K$347,MIN($I$365-$F$342+1,6)),1)</f>
        <v/>
      </c>
    </row>
    <row r="378">
      <c r="A378" t="inlineStr">
        <is>
          <t xml:space="preserve">    cohort</t>
        </is>
      </c>
      <c r="B378" s="31">
        <f>J342</f>
        <v/>
      </c>
      <c r="F378" s="29">
        <f>IF(F342&gt;$J$365,F347/INDEX($F$347:$K$347,MIN($J$365-$F$342+1,6)),1)</f>
        <v/>
      </c>
      <c r="G378" s="29">
        <f>IF(G342&gt;$J$365,G347/INDEX($F$347:$K$347,MIN($J$365-$F$342+1,6)),1)</f>
        <v/>
      </c>
      <c r="H378" s="29">
        <f>IF(H342&gt;$J$365,H347/INDEX($F$347:$K$347,MIN($J$365-$F$342+1,6)),1)</f>
        <v/>
      </c>
      <c r="I378" s="29">
        <f>IF(I342&gt;$J$365,I347/INDEX($F$347:$K$347,MIN($J$365-$F$342+1,6)),1)</f>
        <v/>
      </c>
      <c r="J378" s="29">
        <f>IF(J342&gt;$J$365,J347/INDEX($F$347:$K$347,MIN($J$365-$F$342+1,6)),1)</f>
        <v/>
      </c>
      <c r="K378" s="29">
        <f>IF(K342&gt;$J$365,K347/INDEX($F$347:$K$347,MIN($J$365-$F$342+1,6)),1)</f>
        <v/>
      </c>
    </row>
    <row r="379">
      <c r="A379" t="inlineStr">
        <is>
          <t xml:space="preserve">    cohort</t>
        </is>
      </c>
      <c r="B379" s="31">
        <f>K342</f>
        <v/>
      </c>
      <c r="F379" s="29">
        <f>IF(F342&gt;$K$365,F347/INDEX($F$347:$K$347,MIN($K$365-$F$342+1,6)),1)</f>
        <v/>
      </c>
      <c r="G379" s="29">
        <f>IF(G342&gt;$K$365,G347/INDEX($F$347:$K$347,MIN($K$365-$F$342+1,6)),1)</f>
        <v/>
      </c>
      <c r="H379" s="29">
        <f>IF(H342&gt;$K$365,H347/INDEX($F$347:$K$347,MIN($K$365-$F$342+1,6)),1)</f>
        <v/>
      </c>
      <c r="I379" s="29">
        <f>IF(I342&gt;$K$365,I347/INDEX($F$347:$K$347,MIN($K$365-$F$342+1,6)),1)</f>
        <v/>
      </c>
      <c r="J379" s="29">
        <f>IF(J342&gt;$K$365,J347/INDEX($F$347:$K$347,MIN($K$365-$F$342+1,6)),1)</f>
        <v/>
      </c>
      <c r="K379" s="29">
        <f>IF(K342&gt;$K$365,K347/INDEX($F$347:$K$347,MIN($K$365-$F$342+1,6)),1)</f>
        <v/>
      </c>
    </row>
    <row r="380">
      <c r="A380" s="2" t="inlineStr">
        <is>
          <t xml:space="preserve">  Run-rate EBITDA after rent (as if fully ramped): rows = cohort opened in year shown in column B; columns = calendar year.</t>
        </is>
      </c>
    </row>
    <row r="381">
      <c r="A381" t="inlineStr">
        <is>
          <t xml:space="preserve">    cohort</t>
        </is>
      </c>
      <c r="B381" s="31">
        <f>F342</f>
        <v/>
      </c>
      <c r="F381" s="24">
        <f>IF(F342&gt;=B381,$B$88*$F$363*F374,0)</f>
        <v/>
      </c>
      <c r="G381" s="24">
        <f>IF(G342&gt;=B381,$B$88*$F$363*G374,0)</f>
        <v/>
      </c>
      <c r="H381" s="24">
        <f>IF(H342&gt;=B381,$B$88*$F$363*H374,0)</f>
        <v/>
      </c>
      <c r="I381" s="24">
        <f>IF(I342&gt;=B381,$B$88*$F$363*I374,0)</f>
        <v/>
      </c>
      <c r="J381" s="24">
        <f>IF(J342&gt;=B381,$B$88*$F$363*J374,0)</f>
        <v/>
      </c>
      <c r="K381" s="24">
        <f>IF(K342&gt;=B381,$B$88*$F$363*K374,0)</f>
        <v/>
      </c>
    </row>
    <row r="382">
      <c r="A382" t="inlineStr">
        <is>
          <t xml:space="preserve">    cohort</t>
        </is>
      </c>
      <c r="B382" s="31">
        <f>G342</f>
        <v/>
      </c>
      <c r="F382" s="24">
        <f>IF(F342&gt;=B382,$B$88*$G$363*F375,0)</f>
        <v/>
      </c>
      <c r="G382" s="24">
        <f>IF(G342&gt;=B382,$B$88*$G$363*G375,0)</f>
        <v/>
      </c>
      <c r="H382" s="24">
        <f>IF(H342&gt;=B382,$B$88*$G$363*H375,0)</f>
        <v/>
      </c>
      <c r="I382" s="24">
        <f>IF(I342&gt;=B382,$B$88*$G$363*I375,0)</f>
        <v/>
      </c>
      <c r="J382" s="24">
        <f>IF(J342&gt;=B382,$B$88*$G$363*J375,0)</f>
        <v/>
      </c>
      <c r="K382" s="24">
        <f>IF(K342&gt;=B382,$B$88*$G$363*K375,0)</f>
        <v/>
      </c>
    </row>
    <row r="383">
      <c r="A383" t="inlineStr">
        <is>
          <t xml:space="preserve">    cohort</t>
        </is>
      </c>
      <c r="B383" s="31">
        <f>H342</f>
        <v/>
      </c>
      <c r="F383" s="24">
        <f>IF(F342&gt;=B383,$B$88*$H$363*F376,0)</f>
        <v/>
      </c>
      <c r="G383" s="24">
        <f>IF(G342&gt;=B383,$B$88*$H$363*G376,0)</f>
        <v/>
      </c>
      <c r="H383" s="24">
        <f>IF(H342&gt;=B383,$B$88*$H$363*H376,0)</f>
        <v/>
      </c>
      <c r="I383" s="24">
        <f>IF(I342&gt;=B383,$B$88*$H$363*I376,0)</f>
        <v/>
      </c>
      <c r="J383" s="24">
        <f>IF(J342&gt;=B383,$B$88*$H$363*J376,0)</f>
        <v/>
      </c>
      <c r="K383" s="24">
        <f>IF(K342&gt;=B383,$B$88*$H$363*K376,0)</f>
        <v/>
      </c>
    </row>
    <row r="384">
      <c r="A384" t="inlineStr">
        <is>
          <t xml:space="preserve">    cohort</t>
        </is>
      </c>
      <c r="B384" s="31">
        <f>I342</f>
        <v/>
      </c>
      <c r="F384" s="24">
        <f>IF(F342&gt;=B384,$B$88*$I$363*F377,0)</f>
        <v/>
      </c>
      <c r="G384" s="24">
        <f>IF(G342&gt;=B384,$B$88*$I$363*G377,0)</f>
        <v/>
      </c>
      <c r="H384" s="24">
        <f>IF(H342&gt;=B384,$B$88*$I$363*H377,0)</f>
        <v/>
      </c>
      <c r="I384" s="24">
        <f>IF(I342&gt;=B384,$B$88*$I$363*I377,0)</f>
        <v/>
      </c>
      <c r="J384" s="24">
        <f>IF(J342&gt;=B384,$B$88*$I$363*J377,0)</f>
        <v/>
      </c>
      <c r="K384" s="24">
        <f>IF(K342&gt;=B384,$B$88*$I$363*K377,0)</f>
        <v/>
      </c>
    </row>
    <row r="385">
      <c r="A385" t="inlineStr">
        <is>
          <t xml:space="preserve">    cohort</t>
        </is>
      </c>
      <c r="B385" s="31">
        <f>J342</f>
        <v/>
      </c>
      <c r="F385" s="24">
        <f>IF(F342&gt;=B385,$B$88*$J$363*F378,0)</f>
        <v/>
      </c>
      <c r="G385" s="24">
        <f>IF(G342&gt;=B385,$B$88*$J$363*G378,0)</f>
        <v/>
      </c>
      <c r="H385" s="24">
        <f>IF(H342&gt;=B385,$B$88*$J$363*H378,0)</f>
        <v/>
      </c>
      <c r="I385" s="24">
        <f>IF(I342&gt;=B385,$B$88*$J$363*I378,0)</f>
        <v/>
      </c>
      <c r="J385" s="24">
        <f>IF(J342&gt;=B385,$B$88*$J$363*J378,0)</f>
        <v/>
      </c>
      <c r="K385" s="24">
        <f>IF(K342&gt;=B385,$B$88*$J$363*K378,0)</f>
        <v/>
      </c>
    </row>
    <row r="386">
      <c r="A386" t="inlineStr">
        <is>
          <t xml:space="preserve">    cohort</t>
        </is>
      </c>
      <c r="B386" s="31">
        <f>K342</f>
        <v/>
      </c>
      <c r="F386" s="24">
        <f>IF(F342&gt;=B386,$B$88*$K$363*F379,0)</f>
        <v/>
      </c>
      <c r="G386" s="24">
        <f>IF(G342&gt;=B386,$B$88*$K$363*G379,0)</f>
        <v/>
      </c>
      <c r="H386" s="24">
        <f>IF(H342&gt;=B386,$B$88*$K$363*H379,0)</f>
        <v/>
      </c>
      <c r="I386" s="24">
        <f>IF(I342&gt;=B386,$B$88*$K$363*I379,0)</f>
        <v/>
      </c>
      <c r="J386" s="24">
        <f>IF(J342&gt;=B386,$B$88*$K$363*J379,0)</f>
        <v/>
      </c>
      <c r="K386" s="24">
        <f>IF(K342&gt;=B386,$B$88*$K$363*K379,0)</f>
        <v/>
      </c>
    </row>
    <row r="387">
      <c r="A387" s="2" t="inlineStr">
        <is>
          <t xml:space="preserve">  Run-rate sales (as if fully ramped): rows = cohort opened in year shown in column B; columns = calendar year.</t>
        </is>
      </c>
    </row>
    <row r="388">
      <c r="A388" t="inlineStr">
        <is>
          <t xml:space="preserve">    cohort</t>
        </is>
      </c>
      <c r="B388" s="31">
        <f>F342</f>
        <v/>
      </c>
      <c r="F388" s="24">
        <f>IF(F342&gt;=B388,$F$364*F347,0)</f>
        <v/>
      </c>
      <c r="G388" s="24">
        <f>IF(G342&gt;=B388,$F$364*G347,0)</f>
        <v/>
      </c>
      <c r="H388" s="24">
        <f>IF(H342&gt;=B388,$F$364*H347,0)</f>
        <v/>
      </c>
      <c r="I388" s="24">
        <f>IF(I342&gt;=B388,$F$364*I347,0)</f>
        <v/>
      </c>
      <c r="J388" s="24">
        <f>IF(J342&gt;=B388,$F$364*J347,0)</f>
        <v/>
      </c>
      <c r="K388" s="24">
        <f>IF(K342&gt;=B388,$F$364*K347,0)</f>
        <v/>
      </c>
    </row>
    <row r="389">
      <c r="A389" t="inlineStr">
        <is>
          <t xml:space="preserve">    cohort</t>
        </is>
      </c>
      <c r="B389" s="31">
        <f>G342</f>
        <v/>
      </c>
      <c r="F389" s="24">
        <f>IF(F342&gt;=B389,$G$364*F347,0)</f>
        <v/>
      </c>
      <c r="G389" s="24">
        <f>IF(G342&gt;=B389,$G$364*G347,0)</f>
        <v/>
      </c>
      <c r="H389" s="24">
        <f>IF(H342&gt;=B389,$G$364*H347,0)</f>
        <v/>
      </c>
      <c r="I389" s="24">
        <f>IF(I342&gt;=B389,$G$364*I347,0)</f>
        <v/>
      </c>
      <c r="J389" s="24">
        <f>IF(J342&gt;=B389,$G$364*J347,0)</f>
        <v/>
      </c>
      <c r="K389" s="24">
        <f>IF(K342&gt;=B389,$G$364*K347,0)</f>
        <v/>
      </c>
    </row>
    <row r="390">
      <c r="A390" t="inlineStr">
        <is>
          <t xml:space="preserve">    cohort</t>
        </is>
      </c>
      <c r="B390" s="31">
        <f>H342</f>
        <v/>
      </c>
      <c r="F390" s="24">
        <f>IF(F342&gt;=B390,$H$364*F347,0)</f>
        <v/>
      </c>
      <c r="G390" s="24">
        <f>IF(G342&gt;=B390,$H$364*G347,0)</f>
        <v/>
      </c>
      <c r="H390" s="24">
        <f>IF(H342&gt;=B390,$H$364*H347,0)</f>
        <v/>
      </c>
      <c r="I390" s="24">
        <f>IF(I342&gt;=B390,$H$364*I347,0)</f>
        <v/>
      </c>
      <c r="J390" s="24">
        <f>IF(J342&gt;=B390,$H$364*J347,0)</f>
        <v/>
      </c>
      <c r="K390" s="24">
        <f>IF(K342&gt;=B390,$H$364*K347,0)</f>
        <v/>
      </c>
    </row>
    <row r="391">
      <c r="A391" t="inlineStr">
        <is>
          <t xml:space="preserve">    cohort</t>
        </is>
      </c>
      <c r="B391" s="31">
        <f>I342</f>
        <v/>
      </c>
      <c r="F391" s="24">
        <f>IF(F342&gt;=B391,$I$364*F347,0)</f>
        <v/>
      </c>
      <c r="G391" s="24">
        <f>IF(G342&gt;=B391,$I$364*G347,0)</f>
        <v/>
      </c>
      <c r="H391" s="24">
        <f>IF(H342&gt;=B391,$I$364*H347,0)</f>
        <v/>
      </c>
      <c r="I391" s="24">
        <f>IF(I342&gt;=B391,$I$364*I347,0)</f>
        <v/>
      </c>
      <c r="J391" s="24">
        <f>IF(J342&gt;=B391,$I$364*J347,0)</f>
        <v/>
      </c>
      <c r="K391" s="24">
        <f>IF(K342&gt;=B391,$I$364*K347,0)</f>
        <v/>
      </c>
    </row>
    <row r="392">
      <c r="A392" t="inlineStr">
        <is>
          <t xml:space="preserve">    cohort</t>
        </is>
      </c>
      <c r="B392" s="31">
        <f>J342</f>
        <v/>
      </c>
      <c r="F392" s="24">
        <f>IF(F342&gt;=B392,$J$364*F347,0)</f>
        <v/>
      </c>
      <c r="G392" s="24">
        <f>IF(G342&gt;=B392,$J$364*G347,0)</f>
        <v/>
      </c>
      <c r="H392" s="24">
        <f>IF(H342&gt;=B392,$J$364*H347,0)</f>
        <v/>
      </c>
      <c r="I392" s="24">
        <f>IF(I342&gt;=B392,$J$364*I347,0)</f>
        <v/>
      </c>
      <c r="J392" s="24">
        <f>IF(J342&gt;=B392,$J$364*J347,0)</f>
        <v/>
      </c>
      <c r="K392" s="24">
        <f>IF(K342&gt;=B392,$J$364*K347,0)</f>
        <v/>
      </c>
    </row>
    <row r="393">
      <c r="A393" t="inlineStr">
        <is>
          <t xml:space="preserve">    cohort</t>
        </is>
      </c>
      <c r="B393" s="31">
        <f>K342</f>
        <v/>
      </c>
      <c r="F393" s="24">
        <f>IF(F342&gt;=B393,$K$364*F347,0)</f>
        <v/>
      </c>
      <c r="G393" s="24">
        <f>IF(G342&gt;=B393,$K$364*G347,0)</f>
        <v/>
      </c>
      <c r="H393" s="24">
        <f>IF(H342&gt;=B393,$K$364*H347,0)</f>
        <v/>
      </c>
      <c r="I393" s="24">
        <f>IF(I342&gt;=B393,$K$364*I347,0)</f>
        <v/>
      </c>
      <c r="J393" s="24">
        <f>IF(J342&gt;=B393,$K$364*J347,0)</f>
        <v/>
      </c>
      <c r="K393" s="24">
        <f>IF(K342&gt;=B393,$K$364*K347,0)</f>
        <v/>
      </c>
    </row>
    <row r="394">
      <c r="A394" s="2" t="inlineStr">
        <is>
          <t xml:space="preserve">  EBITDA after rent = run-rate x ramp share: rows = cohort opened in year shown in column B; columns = calendar year.</t>
        </is>
      </c>
    </row>
    <row r="395">
      <c r="A395" t="inlineStr">
        <is>
          <t xml:space="preserve">    cohort</t>
        </is>
      </c>
      <c r="B395" s="31">
        <f>F342</f>
        <v/>
      </c>
      <c r="F395" s="24">
        <f>F381*F367</f>
        <v/>
      </c>
      <c r="G395" s="24">
        <f>G381*G367</f>
        <v/>
      </c>
      <c r="H395" s="24">
        <f>H381*H367</f>
        <v/>
      </c>
      <c r="I395" s="24">
        <f>I381*I367</f>
        <v/>
      </c>
      <c r="J395" s="24">
        <f>J381*J367</f>
        <v/>
      </c>
      <c r="K395" s="24">
        <f>K381*K367</f>
        <v/>
      </c>
    </row>
    <row r="396">
      <c r="A396" t="inlineStr">
        <is>
          <t xml:space="preserve">    cohort</t>
        </is>
      </c>
      <c r="B396" s="31">
        <f>G342</f>
        <v/>
      </c>
      <c r="F396" s="24">
        <f>F382*F368</f>
        <v/>
      </c>
      <c r="G396" s="24">
        <f>G382*G368</f>
        <v/>
      </c>
      <c r="H396" s="24">
        <f>H382*H368</f>
        <v/>
      </c>
      <c r="I396" s="24">
        <f>I382*I368</f>
        <v/>
      </c>
      <c r="J396" s="24">
        <f>J382*J368</f>
        <v/>
      </c>
      <c r="K396" s="24">
        <f>K382*K368</f>
        <v/>
      </c>
    </row>
    <row r="397">
      <c r="A397" t="inlineStr">
        <is>
          <t xml:space="preserve">    cohort</t>
        </is>
      </c>
      <c r="B397" s="31">
        <f>H342</f>
        <v/>
      </c>
      <c r="F397" s="24">
        <f>F383*F369</f>
        <v/>
      </c>
      <c r="G397" s="24">
        <f>G383*G369</f>
        <v/>
      </c>
      <c r="H397" s="24">
        <f>H383*H369</f>
        <v/>
      </c>
      <c r="I397" s="24">
        <f>I383*I369</f>
        <v/>
      </c>
      <c r="J397" s="24">
        <f>J383*J369</f>
        <v/>
      </c>
      <c r="K397" s="24">
        <f>K383*K369</f>
        <v/>
      </c>
    </row>
    <row r="398">
      <c r="A398" t="inlineStr">
        <is>
          <t xml:space="preserve">    cohort</t>
        </is>
      </c>
      <c r="B398" s="31">
        <f>I342</f>
        <v/>
      </c>
      <c r="F398" s="24">
        <f>F384*F370</f>
        <v/>
      </c>
      <c r="G398" s="24">
        <f>G384*G370</f>
        <v/>
      </c>
      <c r="H398" s="24">
        <f>H384*H370</f>
        <v/>
      </c>
      <c r="I398" s="24">
        <f>I384*I370</f>
        <v/>
      </c>
      <c r="J398" s="24">
        <f>J384*J370</f>
        <v/>
      </c>
      <c r="K398" s="24">
        <f>K384*K370</f>
        <v/>
      </c>
    </row>
    <row r="399">
      <c r="A399" t="inlineStr">
        <is>
          <t xml:space="preserve">    cohort</t>
        </is>
      </c>
      <c r="B399" s="31">
        <f>J342</f>
        <v/>
      </c>
      <c r="F399" s="24">
        <f>F385*F371</f>
        <v/>
      </c>
      <c r="G399" s="24">
        <f>G385*G371</f>
        <v/>
      </c>
      <c r="H399" s="24">
        <f>H385*H371</f>
        <v/>
      </c>
      <c r="I399" s="24">
        <f>I385*I371</f>
        <v/>
      </c>
      <c r="J399" s="24">
        <f>J385*J371</f>
        <v/>
      </c>
      <c r="K399" s="24">
        <f>K385*K371</f>
        <v/>
      </c>
    </row>
    <row r="400">
      <c r="A400" t="inlineStr">
        <is>
          <t xml:space="preserve">    cohort</t>
        </is>
      </c>
      <c r="B400" s="31">
        <f>K342</f>
        <v/>
      </c>
      <c r="F400" s="24">
        <f>F386*F372</f>
        <v/>
      </c>
      <c r="G400" s="24">
        <f>G386*G372</f>
        <v/>
      </c>
      <c r="H400" s="24">
        <f>H386*H372</f>
        <v/>
      </c>
      <c r="I400" s="24">
        <f>I386*I372</f>
        <v/>
      </c>
      <c r="J400" s="24">
        <f>J386*J372</f>
        <v/>
      </c>
      <c r="K400" s="24">
        <f>K386*K372</f>
        <v/>
      </c>
    </row>
    <row r="401">
      <c r="A401" s="2" t="inlineStr">
        <is>
          <t xml:space="preserve">  Sales = run-rate x ramp share: rows = cohort opened in year shown in column B; columns = calendar year.</t>
        </is>
      </c>
    </row>
    <row r="402">
      <c r="A402" t="inlineStr">
        <is>
          <t xml:space="preserve">    cohort</t>
        </is>
      </c>
      <c r="B402" s="31">
        <f>F342</f>
        <v/>
      </c>
      <c r="F402" s="24">
        <f>F388*F367</f>
        <v/>
      </c>
      <c r="G402" s="24">
        <f>G388*G367</f>
        <v/>
      </c>
      <c r="H402" s="24">
        <f>H388*H367</f>
        <v/>
      </c>
      <c r="I402" s="24">
        <f>I388*I367</f>
        <v/>
      </c>
      <c r="J402" s="24">
        <f>J388*J367</f>
        <v/>
      </c>
      <c r="K402" s="24">
        <f>K388*K367</f>
        <v/>
      </c>
    </row>
    <row r="403">
      <c r="A403" t="inlineStr">
        <is>
          <t xml:space="preserve">    cohort</t>
        </is>
      </c>
      <c r="B403" s="31">
        <f>G342</f>
        <v/>
      </c>
      <c r="F403" s="24">
        <f>F389*F368</f>
        <v/>
      </c>
      <c r="G403" s="24">
        <f>G389*G368</f>
        <v/>
      </c>
      <c r="H403" s="24">
        <f>H389*H368</f>
        <v/>
      </c>
      <c r="I403" s="24">
        <f>I389*I368</f>
        <v/>
      </c>
      <c r="J403" s="24">
        <f>J389*J368</f>
        <v/>
      </c>
      <c r="K403" s="24">
        <f>K389*K368</f>
        <v/>
      </c>
    </row>
    <row r="404">
      <c r="A404" t="inlineStr">
        <is>
          <t xml:space="preserve">    cohort</t>
        </is>
      </c>
      <c r="B404" s="31">
        <f>H342</f>
        <v/>
      </c>
      <c r="F404" s="24">
        <f>F390*F369</f>
        <v/>
      </c>
      <c r="G404" s="24">
        <f>G390*G369</f>
        <v/>
      </c>
      <c r="H404" s="24">
        <f>H390*H369</f>
        <v/>
      </c>
      <c r="I404" s="24">
        <f>I390*I369</f>
        <v/>
      </c>
      <c r="J404" s="24">
        <f>J390*J369</f>
        <v/>
      </c>
      <c r="K404" s="24">
        <f>K390*K369</f>
        <v/>
      </c>
    </row>
    <row r="405">
      <c r="A405" t="inlineStr">
        <is>
          <t xml:space="preserve">    cohort</t>
        </is>
      </c>
      <c r="B405" s="31">
        <f>I342</f>
        <v/>
      </c>
      <c r="F405" s="24">
        <f>F391*F370</f>
        <v/>
      </c>
      <c r="G405" s="24">
        <f>G391*G370</f>
        <v/>
      </c>
      <c r="H405" s="24">
        <f>H391*H370</f>
        <v/>
      </c>
      <c r="I405" s="24">
        <f>I391*I370</f>
        <v/>
      </c>
      <c r="J405" s="24">
        <f>J391*J370</f>
        <v/>
      </c>
      <c r="K405" s="24">
        <f>K391*K370</f>
        <v/>
      </c>
    </row>
    <row r="406">
      <c r="A406" t="inlineStr">
        <is>
          <t xml:space="preserve">    cohort</t>
        </is>
      </c>
      <c r="B406" s="31">
        <f>J342</f>
        <v/>
      </c>
      <c r="F406" s="24">
        <f>F392*F371</f>
        <v/>
      </c>
      <c r="G406" s="24">
        <f>G392*G371</f>
        <v/>
      </c>
      <c r="H406" s="24">
        <f>H392*H371</f>
        <v/>
      </c>
      <c r="I406" s="24">
        <f>I392*I371</f>
        <v/>
      </c>
      <c r="J406" s="24">
        <f>J392*J371</f>
        <v/>
      </c>
      <c r="K406" s="24">
        <f>K392*K371</f>
        <v/>
      </c>
    </row>
    <row r="407">
      <c r="A407" t="inlineStr">
        <is>
          <t xml:space="preserve">    cohort</t>
        </is>
      </c>
      <c r="B407" s="31">
        <f>K342</f>
        <v/>
      </c>
      <c r="F407" s="24">
        <f>F393*F372</f>
        <v/>
      </c>
      <c r="G407" s="24">
        <f>G393*G372</f>
        <v/>
      </c>
      <c r="H407" s="24">
        <f>H393*H372</f>
        <v/>
      </c>
      <c r="I407" s="24">
        <f>I393*I372</f>
        <v/>
      </c>
      <c r="J407" s="24">
        <f>J393*J372</f>
        <v/>
      </c>
      <c r="K407" s="24">
        <f>K393*K372</f>
        <v/>
      </c>
    </row>
    <row r="408">
      <c r="A408" t="inlineStr">
        <is>
          <t>New locations opened in year</t>
        </is>
      </c>
      <c r="F408" s="32">
        <f>F360+F361</f>
        <v/>
      </c>
      <c r="G408" s="32">
        <f>G360+G361</f>
        <v/>
      </c>
      <c r="H408" s="32">
        <f>H360+H361</f>
        <v/>
      </c>
      <c r="I408" s="32">
        <f>I360+I361</f>
        <v/>
      </c>
      <c r="J408" s="32">
        <f>J360+J361</f>
        <v/>
      </c>
      <c r="K408" s="32">
        <f>K360+K361</f>
        <v/>
      </c>
    </row>
    <row r="409">
      <c r="A409" t="inlineStr">
        <is>
          <t>New locations open, cumulative</t>
        </is>
      </c>
      <c r="F409" s="32">
        <f>F408</f>
        <v/>
      </c>
      <c r="G409" s="32">
        <f>F409+G408</f>
        <v/>
      </c>
      <c r="H409" s="32">
        <f>G409+H408</f>
        <v/>
      </c>
      <c r="I409" s="32">
        <f>H409+I408</f>
        <v/>
      </c>
      <c r="J409" s="32">
        <f>I409+J408</f>
        <v/>
      </c>
      <c r="K409" s="32">
        <f>J409+K408</f>
        <v/>
      </c>
    </row>
    <row r="410">
      <c r="A410" t="inlineStr">
        <is>
          <t>Growth capex (this year's cohort cost)</t>
        </is>
      </c>
      <c r="F410" s="24">
        <f>F363</f>
        <v/>
      </c>
      <c r="G410" s="24">
        <f>G363</f>
        <v/>
      </c>
      <c r="H410" s="24">
        <f>H363</f>
        <v/>
      </c>
      <c r="I410" s="24">
        <f>I363</f>
        <v/>
      </c>
      <c r="J410" s="24">
        <f>J363</f>
        <v/>
      </c>
      <c r="K410" s="24">
        <f>K363</f>
        <v/>
      </c>
    </row>
    <row r="411">
      <c r="A411" s="20" t="inlineStr">
        <is>
          <t>New-location EBITDA after rent</t>
        </is>
      </c>
      <c r="F411" s="25">
        <f>SUM(F395:F400)</f>
        <v/>
      </c>
      <c r="G411" s="25">
        <f>SUM(G395:G400)</f>
        <v/>
      </c>
      <c r="H411" s="25">
        <f>SUM(H395:H400)</f>
        <v/>
      </c>
      <c r="I411" s="25">
        <f>SUM(I395:I400)</f>
        <v/>
      </c>
      <c r="J411" s="25">
        <f>SUM(J395:J400)</f>
        <v/>
      </c>
      <c r="K411" s="25">
        <f>SUM(K395:K400)</f>
        <v/>
      </c>
    </row>
    <row r="412">
      <c r="A412" t="inlineStr">
        <is>
          <t>New-location sales</t>
        </is>
      </c>
      <c r="F412" s="24">
        <f>SUM(F402:F407)</f>
        <v/>
      </c>
      <c r="G412" s="24">
        <f>SUM(G402:G407)</f>
        <v/>
      </c>
      <c r="H412" s="24">
        <f>SUM(H402:H407)</f>
        <v/>
      </c>
      <c r="I412" s="24">
        <f>SUM(I402:I407)</f>
        <v/>
      </c>
      <c r="J412" s="24">
        <f>SUM(J402:J407)</f>
        <v/>
      </c>
      <c r="K412" s="24">
        <f>SUM(K402:K407)</f>
        <v/>
      </c>
    </row>
    <row r="413">
      <c r="A413" t="inlineStr">
        <is>
          <t>Memo: new-location run-rate EBITDA after rent</t>
        </is>
      </c>
      <c r="F413" s="24">
        <f>SUM(F381:F386)</f>
        <v/>
      </c>
      <c r="G413" s="24">
        <f>SUM(G381:G386)</f>
        <v/>
      </c>
      <c r="H413" s="24">
        <f>SUM(H381:H386)</f>
        <v/>
      </c>
      <c r="I413" s="24">
        <f>SUM(I381:I386)</f>
        <v/>
      </c>
      <c r="J413" s="24">
        <f>SUM(J381:J386)</f>
        <v/>
      </c>
      <c r="K413" s="24">
        <f>SUM(K381:K386)</f>
        <v/>
      </c>
    </row>
    <row r="414">
      <c r="A414" t="inlineStr">
        <is>
          <t>Memo: new-location run-rate sales</t>
        </is>
      </c>
      <c r="F414" s="24">
        <f>SUM(F388:F393)</f>
        <v/>
      </c>
      <c r="G414" s="24">
        <f>SUM(G388:G393)</f>
        <v/>
      </c>
      <c r="H414" s="24">
        <f>SUM(H388:H393)</f>
        <v/>
      </c>
      <c r="I414" s="24">
        <f>SUM(I388:I393)</f>
        <v/>
      </c>
      <c r="J414" s="24">
        <f>SUM(J388:J393)</f>
        <v/>
      </c>
      <c r="K414" s="24">
        <f>SUM(K388:K393)</f>
        <v/>
      </c>
    </row>
    <row r="415">
      <c r="A415" t="inlineStr">
        <is>
          <t>Memo: new-location rent (sales x network rent ratio)</t>
        </is>
      </c>
      <c r="F415" s="24">
        <f>F358*F412</f>
        <v/>
      </c>
      <c r="G415" s="24">
        <f>G358*G412</f>
        <v/>
      </c>
      <c r="H415" s="24">
        <f>H358*H412</f>
        <v/>
      </c>
      <c r="I415" s="24">
        <f>I358*I412</f>
        <v/>
      </c>
      <c r="J415" s="24">
        <f>J358*J412</f>
        <v/>
      </c>
      <c r="K415" s="24">
        <f>K358*K412</f>
        <v/>
      </c>
      <c r="L415" s="10" t="inlineStr">
        <is>
          <t>Presentation only: new-location earnings are modelled after rent</t>
        </is>
      </c>
    </row>
    <row r="416">
      <c r="A416" s="20" t="inlineStr">
        <is>
          <t>Total sales</t>
        </is>
      </c>
      <c r="F416" s="25">
        <f>F350+F412</f>
        <v/>
      </c>
      <c r="G416" s="25">
        <f>G350+G412</f>
        <v/>
      </c>
      <c r="H416" s="25">
        <f>H350+H412</f>
        <v/>
      </c>
      <c r="I416" s="25">
        <f>I350+I412</f>
        <v/>
      </c>
      <c r="J416" s="25">
        <f>J350+J412</f>
        <v/>
      </c>
      <c r="K416" s="25">
        <f>K350+K412</f>
        <v/>
      </c>
    </row>
    <row r="417">
      <c r="A417" t="inlineStr">
        <is>
          <t>Total Adjusted EBITDA (memo, pre-rent)</t>
        </is>
      </c>
      <c r="F417" s="24">
        <f>F355+F411+F415</f>
        <v/>
      </c>
      <c r="G417" s="24">
        <f>G355+G411+G415</f>
        <v/>
      </c>
      <c r="H417" s="24">
        <f>H355+H411+H415</f>
        <v/>
      </c>
      <c r="I417" s="24">
        <f>I355+I411+I415</f>
        <v/>
      </c>
      <c r="J417" s="24">
        <f>J355+J411+J415</f>
        <v/>
      </c>
      <c r="K417" s="24">
        <f>K355+K411+K415</f>
        <v/>
      </c>
    </row>
    <row r="418">
      <c r="A418" s="20" t="inlineStr">
        <is>
          <t>EBITDA after rent</t>
        </is>
      </c>
      <c r="F418" s="25">
        <f>F355-F357+F411</f>
        <v/>
      </c>
      <c r="G418" s="25">
        <f>G355-G357+G411</f>
        <v/>
      </c>
      <c r="H418" s="25">
        <f>H355-H357+H411</f>
        <v/>
      </c>
      <c r="I418" s="25">
        <f>I355-I357+I411</f>
        <v/>
      </c>
      <c r="J418" s="25">
        <f>J355-J357+J411</f>
        <v/>
      </c>
      <c r="K418" s="25">
        <f>K355-K357+K411</f>
        <v/>
      </c>
    </row>
    <row r="419">
      <c r="A419" t="inlineStr">
        <is>
          <t>Maintenance capex</t>
        </is>
      </c>
      <c r="F419" s="24">
        <f>$B$86*F416</f>
        <v/>
      </c>
      <c r="G419" s="24">
        <f>$B$86*G416</f>
        <v/>
      </c>
      <c r="H419" s="24">
        <f>$B$86*H416</f>
        <v/>
      </c>
      <c r="I419" s="24">
        <f>$B$86*I416</f>
        <v/>
      </c>
      <c r="J419" s="24">
        <f>$B$86*J416</f>
        <v/>
      </c>
      <c r="K419" s="24">
        <f>$B$86*K416</f>
        <v/>
      </c>
    </row>
    <row r="420">
      <c r="A420" t="inlineStr">
        <is>
          <t>Software capex</t>
        </is>
      </c>
      <c r="F420" s="24">
        <f>$B$52*F416</f>
        <v/>
      </c>
      <c r="G420" s="24">
        <f>$B$52*G416</f>
        <v/>
      </c>
      <c r="H420" s="24">
        <f>$B$52*H416</f>
        <v/>
      </c>
      <c r="I420" s="24">
        <f>$B$52*I416</f>
        <v/>
      </c>
      <c r="J420" s="24">
        <f>$B$52*J416</f>
        <v/>
      </c>
      <c r="K420" s="24">
        <f>$B$52*K416</f>
        <v/>
      </c>
    </row>
    <row r="421">
      <c r="A421" t="inlineStr">
        <is>
          <t>Normalized acquisition cost</t>
        </is>
      </c>
      <c r="F421" s="18">
        <f>$B$53</f>
        <v/>
      </c>
      <c r="G421" s="18">
        <f>$B$53</f>
        <v/>
      </c>
      <c r="H421" s="18">
        <f>$B$53</f>
        <v/>
      </c>
      <c r="I421" s="18">
        <f>$B$53</f>
        <v/>
      </c>
      <c r="J421" s="18">
        <f>$B$53</f>
        <v/>
      </c>
      <c r="K421" s="18">
        <f>$B$53</f>
        <v/>
      </c>
    </row>
    <row r="422">
      <c r="A422" t="inlineStr">
        <is>
          <t>Pre-tax Owners' Earnings</t>
        </is>
      </c>
      <c r="F422" s="24">
        <f>F418-F419-F420-F421</f>
        <v/>
      </c>
      <c r="G422" s="24">
        <f>G418-G419-G420-G421</f>
        <v/>
      </c>
      <c r="H422" s="24">
        <f>H418-H419-H420-H421</f>
        <v/>
      </c>
      <c r="I422" s="24">
        <f>I418-I419-I420-I421</f>
        <v/>
      </c>
      <c r="J422" s="24">
        <f>J418-J419-J420-J421</f>
        <v/>
      </c>
      <c r="K422" s="24">
        <f>K418-K419-K420-K421</f>
        <v/>
      </c>
    </row>
    <row r="423">
      <c r="A423" s="20" t="inlineStr">
        <is>
          <t>Owners' Earnings</t>
        </is>
      </c>
      <c r="F423" s="25">
        <f>F422*(1-$B$54)</f>
        <v/>
      </c>
      <c r="G423" s="25">
        <f>G422*(1-$B$54)</f>
        <v/>
      </c>
      <c r="H423" s="25">
        <f>H422*(1-$B$54)</f>
        <v/>
      </c>
      <c r="I423" s="25">
        <f>I422*(1-$B$54)</f>
        <v/>
      </c>
      <c r="J423" s="25">
        <f>J422*(1-$B$54)</f>
        <v/>
      </c>
      <c r="K423" s="25">
        <f>K422*(1-$B$54)</f>
        <v/>
      </c>
    </row>
    <row r="424">
      <c r="A424" t="inlineStr">
        <is>
          <t>Maintenance + software capex rate</t>
        </is>
      </c>
      <c r="B424" s="27">
        <f>B86+$B$52</f>
        <v/>
      </c>
    </row>
    <row r="425">
      <c r="A425" t="inlineStr">
        <is>
          <t xml:space="preserve">  OE from existing business</t>
        </is>
      </c>
      <c r="F425" s="24">
        <f>(F355-F357-$B$424*F350-F421)*(1-$B$54)</f>
        <v/>
      </c>
      <c r="G425" s="24">
        <f>(G355-G357-$B$424*G350-G421)*(1-$B$54)</f>
        <v/>
      </c>
      <c r="H425" s="24">
        <f>(H355-H357-$B$424*H350-H421)*(1-$B$54)</f>
        <v/>
      </c>
      <c r="I425" s="24">
        <f>(I355-I357-$B$424*I350-I421)*(1-$B$54)</f>
        <v/>
      </c>
      <c r="J425" s="24">
        <f>(J355-J357-$B$424*J350-J421)*(1-$B$54)</f>
        <v/>
      </c>
      <c r="K425" s="24">
        <f>(K355-K357-$B$424*K350-K421)*(1-$B$54)</f>
        <v/>
      </c>
    </row>
    <row r="426">
      <c r="A426" t="inlineStr">
        <is>
          <t xml:space="preserve">  OE from new locations</t>
        </is>
      </c>
      <c r="F426" s="24">
        <f>(F411-$B$424*F412)*(1-$B$54)</f>
        <v/>
      </c>
      <c r="G426" s="24">
        <f>(G411-$B$424*G412)*(1-$B$54)</f>
        <v/>
      </c>
      <c r="H426" s="24">
        <f>(H411-$B$424*H412)*(1-$B$54)</f>
        <v/>
      </c>
      <c r="I426" s="24">
        <f>(I411-$B$424*I412)*(1-$B$54)</f>
        <v/>
      </c>
      <c r="J426" s="24">
        <f>(J411-$B$424*J412)*(1-$B$54)</f>
        <v/>
      </c>
      <c r="K426" s="24">
        <f>(K411-$B$424*K412)*(1-$B$54)</f>
        <v/>
      </c>
    </row>
    <row r="427">
      <c r="A427" t="inlineStr">
        <is>
          <t xml:space="preserve">  Memo: new-location OE if all cohorts were mature</t>
        </is>
      </c>
      <c r="F427" s="24">
        <f>(F413-$B$424*F414)*(1-$B$54)</f>
        <v/>
      </c>
      <c r="G427" s="24">
        <f>(G413-$B$424*G414)*(1-$B$54)</f>
        <v/>
      </c>
      <c r="H427" s="24">
        <f>(H413-$B$424*H414)*(1-$B$54)</f>
        <v/>
      </c>
      <c r="I427" s="24">
        <f>(I413-$B$424*I414)*(1-$B$54)</f>
        <v/>
      </c>
      <c r="J427" s="24">
        <f>(J413-$B$424*J414)*(1-$B$54)</f>
        <v/>
      </c>
      <c r="K427" s="24">
        <f>(K413-$B$424*K414)*(1-$B$54)</f>
        <v/>
      </c>
    </row>
    <row r="428">
      <c r="A428" t="inlineStr">
        <is>
          <t xml:space="preserve">  Memo: OE still ramping</t>
        </is>
      </c>
      <c r="F428" s="24">
        <f>F427-F426</f>
        <v/>
      </c>
      <c r="G428" s="24">
        <f>G427-G426</f>
        <v/>
      </c>
      <c r="H428" s="24">
        <f>H427-H426</f>
        <v/>
      </c>
      <c r="I428" s="24">
        <f>I427-I426</f>
        <v/>
      </c>
      <c r="J428" s="24">
        <f>J427-J426</f>
        <v/>
      </c>
      <c r="K428" s="24">
        <f>K427-K426</f>
        <v/>
      </c>
    </row>
    <row r="429">
      <c r="A429" t="inlineStr">
        <is>
          <t>One-off integration costs (after tax)</t>
        </is>
      </c>
      <c r="F429" s="24">
        <f>$F$59*(($B$55-$B$56)*(1-$B$54)+($B$57-$B$58))</f>
        <v/>
      </c>
      <c r="G429" s="24">
        <f>$G$59*(($B$55-$B$56)*(1-$B$54)+($B$57-$B$58))</f>
        <v/>
      </c>
      <c r="H429" s="24">
        <f>$H$59*(($B$55-$B$56)*(1-$B$54)+($B$57-$B$58))</f>
        <v/>
      </c>
      <c r="I429" s="24">
        <f>$I$59*(($B$55-$B$56)*(1-$B$54)+($B$57-$B$58))</f>
        <v/>
      </c>
      <c r="J429" s="24">
        <f>$J$59*(($B$55-$B$56)*(1-$B$54)+($B$57-$B$58))</f>
        <v/>
      </c>
      <c r="K429" s="24">
        <f>$K$59*(($B$55-$B$56)*(1-$B$54)+($B$57-$B$58))</f>
        <v/>
      </c>
    </row>
    <row r="430">
      <c r="A430" s="20" t="inlineStr">
        <is>
          <t>Distributable cash = OE - growth capex - one-offs</t>
        </is>
      </c>
      <c r="F430" s="25">
        <f>F423-F410-F429</f>
        <v/>
      </c>
      <c r="G430" s="25">
        <f>G423-G410-G429</f>
        <v/>
      </c>
      <c r="H430" s="25">
        <f>H423-H410-H429</f>
        <v/>
      </c>
      <c r="I430" s="25">
        <f>I423-I410-I429</f>
        <v/>
      </c>
      <c r="J430" s="25">
        <f>J423-J410-J429</f>
        <v/>
      </c>
      <c r="K430" s="25">
        <f>K423-K410-K429</f>
        <v/>
      </c>
    </row>
    <row r="431">
      <c r="A431" t="inlineStr">
        <is>
          <t>Cash after after-tax interest and dividends</t>
        </is>
      </c>
      <c r="F431" s="24">
        <f>F430-$B$61*(1-$B$54)-$B$62</f>
        <v/>
      </c>
      <c r="G431" s="24">
        <f>G430-$B$61*(1-$B$54)-$B$62</f>
        <v/>
      </c>
      <c r="H431" s="24">
        <f>H430-$B$61*(1-$B$54)-$B$62</f>
        <v/>
      </c>
      <c r="I431" s="24">
        <f>I430-$B$61*(1-$B$54)-$B$62</f>
        <v/>
      </c>
      <c r="J431" s="24">
        <f>J430-$B$61*(1-$B$54)-$B$62</f>
        <v/>
      </c>
      <c r="K431" s="24">
        <f>K430-$B$61*(1-$B$54)-$B$62</f>
        <v/>
      </c>
    </row>
    <row r="432">
      <c r="A432" t="inlineStr">
        <is>
          <t>Net debt ex-leases, period end</t>
        </is>
      </c>
      <c r="E432" s="18">
        <f>$B$60</f>
        <v/>
      </c>
      <c r="F432" s="24">
        <f>E432-F431*$B$63</f>
        <v/>
      </c>
      <c r="G432" s="24">
        <f>F432-G431</f>
        <v/>
      </c>
      <c r="H432" s="24">
        <f>G432-H431</f>
        <v/>
      </c>
      <c r="I432" s="24">
        <f>H432-I431</f>
        <v/>
      </c>
      <c r="J432" s="24">
        <f>I432-J431</f>
        <v/>
      </c>
      <c r="K432" s="24">
        <f>J432-K431</f>
        <v/>
      </c>
    </row>
    <row r="433">
      <c r="A433" t="inlineStr">
        <is>
          <t>Net debt / EBITDA after rent</t>
        </is>
      </c>
      <c r="F433" s="33">
        <f>F432/F418</f>
        <v/>
      </c>
      <c r="G433" s="33">
        <f>G432/G418</f>
        <v/>
      </c>
      <c r="H433" s="33">
        <f>H432/H418</f>
        <v/>
      </c>
      <c r="I433" s="33">
        <f>I432/I418</f>
        <v/>
      </c>
      <c r="J433" s="33">
        <f>J432/J418</f>
        <v/>
      </c>
      <c r="K433" s="33">
        <f>K432/K418</f>
        <v/>
      </c>
    </row>
    <row r="435">
      <c r="A435" s="7" t="inlineStr">
        <is>
          <t>4. Forecast workings - Bull</t>
        </is>
      </c>
      <c r="B435" s="8" t="inlineStr"/>
      <c r="C435" s="8" t="inlineStr"/>
      <c r="D435" s="8" t="inlineStr">
        <is>
          <t>FY2025</t>
        </is>
      </c>
      <c r="E435" s="8" t="inlineStr">
        <is>
          <t>Jun-2026</t>
        </is>
      </c>
      <c r="F435" s="8" t="inlineStr">
        <is>
          <t>2026E</t>
        </is>
      </c>
      <c r="G435" s="8" t="inlineStr">
        <is>
          <t>2027E</t>
        </is>
      </c>
      <c r="H435" s="8" t="inlineStr">
        <is>
          <t>2028E</t>
        </is>
      </c>
      <c r="I435" s="8" t="inlineStr">
        <is>
          <t>2029E</t>
        </is>
      </c>
      <c r="J435" s="8" t="inlineStr">
        <is>
          <t>2030E</t>
        </is>
      </c>
      <c r="K435" s="8" t="inlineStr">
        <is>
          <t>2031E</t>
        </is>
      </c>
      <c r="L435" s="7" t="inlineStr">
        <is>
          <t>Source / explanation</t>
        </is>
      </c>
    </row>
    <row r="436">
      <c r="A436" t="inlineStr">
        <is>
          <t>Fiscal year</t>
        </is>
      </c>
      <c r="D436" s="28">
        <f>2025</f>
        <v/>
      </c>
      <c r="F436" s="28">
        <f>D436+1</f>
        <v/>
      </c>
      <c r="G436" s="28">
        <f>F436+1</f>
        <v/>
      </c>
      <c r="H436" s="28">
        <f>G436+1</f>
        <v/>
      </c>
      <c r="I436" s="28">
        <f>H436+1</f>
        <v/>
      </c>
      <c r="J436" s="28">
        <f>I436+1</f>
        <v/>
      </c>
      <c r="K436" s="28">
        <f>J436+1</f>
        <v/>
      </c>
    </row>
    <row r="437">
      <c r="A437" t="inlineStr">
        <is>
          <t xml:space="preserve">  Claims volume (pp)</t>
        </is>
      </c>
      <c r="F437" s="23">
        <f>F90</f>
        <v/>
      </c>
      <c r="G437" s="23">
        <f>G90</f>
        <v/>
      </c>
      <c r="H437" s="23">
        <f>H90</f>
        <v/>
      </c>
      <c r="I437" s="23">
        <f>I90</f>
        <v/>
      </c>
      <c r="J437" s="23">
        <f>J90</f>
        <v/>
      </c>
      <c r="K437" s="23">
        <f>K90</f>
        <v/>
      </c>
    </row>
    <row r="438">
      <c r="A438" t="inlineStr">
        <is>
          <t xml:space="preserve">  Avg repair cost (pp)</t>
        </is>
      </c>
      <c r="F438" s="23">
        <f>F91</f>
        <v/>
      </c>
      <c r="G438" s="23">
        <f>G91</f>
        <v/>
      </c>
      <c r="H438" s="23">
        <f>H91</f>
        <v/>
      </c>
      <c r="I438" s="23">
        <f>I91</f>
        <v/>
      </c>
      <c r="J438" s="23">
        <f>J91</f>
        <v/>
      </c>
      <c r="K438" s="23">
        <f>K91</f>
        <v/>
      </c>
    </row>
    <row r="439">
      <c r="A439" t="inlineStr">
        <is>
          <t xml:space="preserve">  Share gain (pp)</t>
        </is>
      </c>
      <c r="F439" s="23">
        <f>F92</f>
        <v/>
      </c>
      <c r="G439" s="23">
        <f>G92</f>
        <v/>
      </c>
      <c r="H439" s="23">
        <f>H92</f>
        <v/>
      </c>
      <c r="I439" s="23">
        <f>I92</f>
        <v/>
      </c>
      <c r="J439" s="23">
        <f>J92</f>
        <v/>
      </c>
      <c r="K439" s="23">
        <f>K92</f>
        <v/>
      </c>
    </row>
    <row r="440">
      <c r="A440" t="inlineStr">
        <is>
          <t>Same-store sales growth</t>
        </is>
      </c>
      <c r="F440" s="26">
        <f>(F437+F438+F439)/100</f>
        <v/>
      </c>
      <c r="G440" s="26">
        <f>(G437+G438+G439)/100</f>
        <v/>
      </c>
      <c r="H440" s="26">
        <f>(H437+H438+H439)/100</f>
        <v/>
      </c>
      <c r="I440" s="26">
        <f>(I437+I438+I439)/100</f>
        <v/>
      </c>
      <c r="J440" s="26">
        <f>(J437+J438+J439)/100</f>
        <v/>
      </c>
      <c r="K440" s="26">
        <f>(K437+K438+K439)/100</f>
        <v/>
      </c>
      <c r="L440" s="10" t="inlineStr">
        <is>
          <t>Claims volume + average repair cost + share gain</t>
        </is>
      </c>
    </row>
    <row r="441">
      <c r="A441" t="inlineStr">
        <is>
          <t>Price / volume index vs FY2025 (cumulative SSS)</t>
        </is>
      </c>
      <c r="D441" s="29">
        <f>1</f>
        <v/>
      </c>
      <c r="F441" s="29">
        <f>D441*(1+F440)</f>
        <v/>
      </c>
      <c r="G441" s="29">
        <f>F441*(1+G440)</f>
        <v/>
      </c>
      <c r="H441" s="29">
        <f>G441*(1+H440)</f>
        <v/>
      </c>
      <c r="I441" s="29">
        <f>H441*(1+I440)</f>
        <v/>
      </c>
      <c r="J441" s="29">
        <f>I441*(1+J440)</f>
        <v/>
      </c>
      <c r="K441" s="29">
        <f>J441*(1+K440)</f>
        <v/>
      </c>
    </row>
    <row r="442">
      <c r="A442" t="inlineStr">
        <is>
          <t>Legacy Boyd sales (all locations open at Dec-2025)</t>
        </is>
      </c>
      <c r="D442" s="18">
        <f>$B$33</f>
        <v/>
      </c>
      <c r="F442" s="24">
        <f>D442*(1+F440)</f>
        <v/>
      </c>
      <c r="G442" s="24">
        <f>F442*(1+G440)</f>
        <v/>
      </c>
      <c r="H442" s="24">
        <f>G442*(1+H440)</f>
        <v/>
      </c>
      <c r="I442" s="24">
        <f>H442*(1+I440)</f>
        <v/>
      </c>
      <c r="J442" s="24">
        <f>I442*(1+J440)</f>
        <v/>
      </c>
      <c r="K442" s="24">
        <f>J442*(1+K440)</f>
        <v/>
      </c>
      <c r="L442" s="10" t="inlineStr">
        <is>
          <t>FY2025 pro-forma sales grown with SSS</t>
        </is>
      </c>
    </row>
    <row r="443">
      <c r="A443" t="inlineStr">
        <is>
          <t>Joe Hudson's sales</t>
        </is>
      </c>
      <c r="F443" s="18">
        <f>$B$40</f>
        <v/>
      </c>
      <c r="G443" s="24">
        <f>$B$38*(1+G440)</f>
        <v/>
      </c>
      <c r="H443" s="24">
        <f>G443*(1+H440)</f>
        <v/>
      </c>
      <c r="I443" s="24">
        <f>H443*(1+I440)</f>
        <v/>
      </c>
      <c r="J443" s="24">
        <f>I443*(1+J440)</f>
        <v/>
      </c>
      <c r="K443" s="24">
        <f>J443*(1+K440)</f>
        <v/>
      </c>
      <c r="L443" s="10" t="inlineStr">
        <is>
          <t>2026 disrupted; 2027 back to pre-deal run rate x (1+SSS)</t>
        </is>
      </c>
    </row>
    <row r="444">
      <c r="A444" s="20" t="inlineStr">
        <is>
          <t>Existing-business sales</t>
        </is>
      </c>
      <c r="F444" s="25">
        <f>F442+F443</f>
        <v/>
      </c>
      <c r="G444" s="25">
        <f>G442+G443</f>
        <v/>
      </c>
      <c r="H444" s="25">
        <f>H442+H443</f>
        <v/>
      </c>
      <c r="I444" s="25">
        <f>I442+I443</f>
        <v/>
      </c>
      <c r="J444" s="25">
        <f>J442+J443</f>
        <v/>
      </c>
      <c r="K444" s="25">
        <f>K442+K443</f>
        <v/>
      </c>
    </row>
    <row r="445">
      <c r="A445" t="inlineStr">
        <is>
          <t>Margin change from operating leverage</t>
        </is>
      </c>
      <c r="F445" s="27">
        <f>MIN(MAX($B$42*(F440-$B$43),$B$45),$B$44)</f>
        <v/>
      </c>
      <c r="G445" s="27">
        <f>MIN(MAX($B$42*(G440-$B$43),$B$45),$B$44)</f>
        <v/>
      </c>
      <c r="H445" s="27">
        <f>MIN(MAX($B$42*(H440-$B$43),$B$45),$B$44)</f>
        <v/>
      </c>
      <c r="I445" s="27">
        <f>MIN(MAX($B$42*(I440-$B$43),$B$45),$B$44)</f>
        <v/>
      </c>
      <c r="J445" s="27">
        <f>MIN(MAX($B$42*(J440-$B$43),$B$45),$B$44)</f>
        <v/>
      </c>
      <c r="K445" s="27">
        <f>MIN(MAX($B$42*(K440-$B$43),$B$45),$B$44)</f>
        <v/>
      </c>
      <c r="L445" s="10" t="inlineStr">
        <is>
          <t>sensitivity x (SSS - breakeven), capped and floored</t>
        </is>
      </c>
    </row>
    <row r="446">
      <c r="A446" t="inlineStr">
        <is>
          <t>Legacy Boyd margin, excluding cost-program savings</t>
        </is>
      </c>
      <c r="D446" s="27">
        <f>$D$12/$D$7-$B$95*$B$34/$D$7</f>
        <v/>
      </c>
      <c r="F446" s="27">
        <f>D446+F445</f>
        <v/>
      </c>
      <c r="G446" s="27">
        <f>F446+G445</f>
        <v/>
      </c>
      <c r="H446" s="27">
        <f>G446+H445</f>
        <v/>
      </c>
      <c r="I446" s="27">
        <f>H446+I445</f>
        <v/>
      </c>
      <c r="J446" s="27">
        <f>I446+J445</f>
        <v/>
      </c>
      <c r="K446" s="27">
        <f>J446+K445</f>
        <v/>
      </c>
      <c r="L446" s="10" t="inlineStr">
        <is>
          <t>FY2025: reported margin less the retained share of the $40M already in FY2025 EBITDA</t>
        </is>
      </c>
    </row>
    <row r="447">
      <c r="A447" t="inlineStr">
        <is>
          <t>Joe Hudson's margin, excluding cost-program savings</t>
        </is>
      </c>
      <c r="F447" s="22">
        <f>$B$41</f>
        <v/>
      </c>
      <c r="G447" s="27">
        <f>$B$39+G445</f>
        <v/>
      </c>
      <c r="H447" s="27">
        <f>G447+H445</f>
        <v/>
      </c>
      <c r="I447" s="27">
        <f>H447+I445</f>
        <v/>
      </c>
      <c r="J447" s="27">
        <f>I447+J445</f>
        <v/>
      </c>
      <c r="K447" s="27">
        <f>J447+K445</f>
        <v/>
      </c>
    </row>
    <row r="448">
      <c r="A448" t="inlineStr">
        <is>
          <t>Retained cost-program savings</t>
        </is>
      </c>
      <c r="F448" s="24">
        <f>$B$95*F35</f>
        <v/>
      </c>
      <c r="G448" s="24">
        <f>$B$95*G35</f>
        <v/>
      </c>
      <c r="H448" s="24">
        <f>$B$95*H35</f>
        <v/>
      </c>
      <c r="I448" s="24">
        <f>$B$95*I35</f>
        <v/>
      </c>
      <c r="J448" s="24">
        <f>$B$95*J35</f>
        <v/>
      </c>
      <c r="K448" s="24">
        <f>$B$95*K35</f>
        <v/>
      </c>
    </row>
    <row r="449">
      <c r="A449" s="20" t="inlineStr">
        <is>
          <t>Existing-business Adjusted EBITDA</t>
        </is>
      </c>
      <c r="F449" s="25">
        <f>F446*F442+F447*F443+F448</f>
        <v/>
      </c>
      <c r="G449" s="25">
        <f>G446*G442+G447*G443+G448</f>
        <v/>
      </c>
      <c r="H449" s="25">
        <f>H446*H442+H447*H443+H448</f>
        <v/>
      </c>
      <c r="I449" s="25">
        <f>I446*I442+I447*I443+I448</f>
        <v/>
      </c>
      <c r="J449" s="25">
        <f>J446*J442+J447*J443+J448</f>
        <v/>
      </c>
      <c r="K449" s="25">
        <f>K446*K442+K447*K443+K448</f>
        <v/>
      </c>
    </row>
    <row r="450">
      <c r="A450" t="inlineStr">
        <is>
          <t xml:space="preserve">  margin</t>
        </is>
      </c>
      <c r="F450" s="26">
        <f>F449/F444</f>
        <v/>
      </c>
      <c r="G450" s="26">
        <f>G449/G444</f>
        <v/>
      </c>
      <c r="H450" s="26">
        <f>H449/H444</f>
        <v/>
      </c>
      <c r="I450" s="26">
        <f>I449/I444</f>
        <v/>
      </c>
      <c r="J450" s="26">
        <f>J449/J444</f>
        <v/>
      </c>
      <c r="K450" s="26">
        <f>K449/K444</f>
        <v/>
      </c>
    </row>
    <row r="451">
      <c r="A451" t="inlineStr">
        <is>
          <t>Existing-business cash rent</t>
        </is>
      </c>
      <c r="F451" s="24">
        <f>2*($F$13+$F$14+$F$15+$F$16)</f>
        <v/>
      </c>
      <c r="G451" s="24">
        <f>F451*(1+$B$97)</f>
        <v/>
      </c>
      <c r="H451" s="24">
        <f>G451*(1+$B$97)</f>
        <v/>
      </c>
      <c r="I451" s="24">
        <f>H451*(1+$B$97)</f>
        <v/>
      </c>
      <c r="J451" s="24">
        <f>I451*(1+$B$97)</f>
        <v/>
      </c>
      <c r="K451" s="24">
        <f>J451*(1+$B$97)</f>
        <v/>
      </c>
      <c r="L451" s="10" t="inlineStr">
        <is>
          <t>2026 = H1-2026 actual x2; then x (1 + escalator)</t>
        </is>
      </c>
    </row>
    <row r="452">
      <c r="A452" t="inlineStr">
        <is>
          <t xml:space="preserve">  rent % of existing sales</t>
        </is>
      </c>
      <c r="F452" s="27">
        <f>F451/F444</f>
        <v/>
      </c>
      <c r="G452" s="27">
        <f>G451/G444</f>
        <v/>
      </c>
      <c r="H452" s="27">
        <f>H451/H444</f>
        <v/>
      </c>
      <c r="I452" s="27">
        <f>I451/I444</f>
        <v/>
      </c>
      <c r="J452" s="27">
        <f>J451/J444</f>
        <v/>
      </c>
      <c r="K452" s="27">
        <f>K451/K444</f>
        <v/>
      </c>
    </row>
    <row r="453">
      <c r="A453" s="2" t="inlineStr">
        <is>
          <t>New-location cohorts: each column below is the cohort OPENED in that year.</t>
        </is>
      </c>
    </row>
    <row r="454">
      <c r="A454" t="inlineStr">
        <is>
          <t xml:space="preserve">  Tuck-ins opened</t>
        </is>
      </c>
      <c r="F454" s="30">
        <f>F93</f>
        <v/>
      </c>
      <c r="G454" s="30">
        <f>G93</f>
        <v/>
      </c>
      <c r="H454" s="30">
        <f>H93</f>
        <v/>
      </c>
      <c r="I454" s="30">
        <f>I93</f>
        <v/>
      </c>
      <c r="J454" s="30">
        <f>J93</f>
        <v/>
      </c>
      <c r="K454" s="30">
        <f>K93</f>
        <v/>
      </c>
    </row>
    <row r="455">
      <c r="A455" t="inlineStr">
        <is>
          <t xml:space="preserve">  Start-ups opened</t>
        </is>
      </c>
      <c r="F455" s="30">
        <f>F94</f>
        <v/>
      </c>
      <c r="G455" s="30">
        <f>G94</f>
        <v/>
      </c>
      <c r="H455" s="30">
        <f>H94</f>
        <v/>
      </c>
      <c r="I455" s="30">
        <f>I94</f>
        <v/>
      </c>
      <c r="J455" s="30">
        <f>J94</f>
        <v/>
      </c>
      <c r="K455" s="30">
        <f>K94</f>
        <v/>
      </c>
    </row>
    <row r="456">
      <c r="A456" t="inlineStr">
        <is>
          <t xml:space="preserve">  Cost inflation index</t>
        </is>
      </c>
      <c r="F456" s="29">
        <f>(1+$B$51)^(F436-$F$436)</f>
        <v/>
      </c>
      <c r="G456" s="29">
        <f>(1+$B$51)^(G436-$F$436)</f>
        <v/>
      </c>
      <c r="H456" s="29">
        <f>(1+$B$51)^(H436-$F$436)</f>
        <v/>
      </c>
      <c r="I456" s="29">
        <f>(1+$B$51)^(I436-$F$436)</f>
        <v/>
      </c>
      <c r="J456" s="29">
        <f>(1+$B$51)^(J436-$F$436)</f>
        <v/>
      </c>
      <c r="K456" s="29">
        <f>(1+$B$51)^(K436-$F$436)</f>
        <v/>
      </c>
    </row>
    <row r="457">
      <c r="A457" t="inlineStr">
        <is>
          <t xml:space="preserve">  Cohort cost = growth capex</t>
        </is>
      </c>
      <c r="F457" s="24">
        <f>(F454*$B$46+F455*$B$48)*F456</f>
        <v/>
      </c>
      <c r="G457" s="24">
        <f>(G454*$B$46+G455*$B$48)*G456</f>
        <v/>
      </c>
      <c r="H457" s="24">
        <f>(H454*$B$46+H455*$B$48)*H456</f>
        <v/>
      </c>
      <c r="I457" s="24">
        <f>(I454*$B$46+I455*$B$48)*I456</f>
        <v/>
      </c>
      <c r="J457" s="24">
        <f>(J454*$B$46+J455*$B$48)*J456</f>
        <v/>
      </c>
      <c r="K457" s="24">
        <f>(K454*$B$46+K455*$B$48)*K456</f>
        <v/>
      </c>
    </row>
    <row r="458">
      <c r="A458" t="inlineStr">
        <is>
          <t xml:space="preserve">  Cohort mature sales, 2025 prices</t>
        </is>
      </c>
      <c r="F458" s="24">
        <f>F454*$B$47+F455*$B$49</f>
        <v/>
      </c>
      <c r="G458" s="24">
        <f>G454*$B$47+G455*$B$49</f>
        <v/>
      </c>
      <c r="H458" s="24">
        <f>H454*$B$47+H455*$B$49</f>
        <v/>
      </c>
      <c r="I458" s="24">
        <f>I454*$B$47+I455*$B$49</f>
        <v/>
      </c>
      <c r="J458" s="24">
        <f>J454*$B$47+J455*$B$49</f>
        <v/>
      </c>
      <c r="K458" s="24">
        <f>K454*$B$47+K455*$B$49</f>
        <v/>
      </c>
    </row>
    <row r="459">
      <c r="A459" t="inlineStr">
        <is>
          <t xml:space="preserve">  Year cohort reaches maturity</t>
        </is>
      </c>
      <c r="F459" s="28">
        <f>F436+COUNT($B$50:$E$50)-1</f>
        <v/>
      </c>
      <c r="G459" s="28">
        <f>G436+COUNT($B$50:$E$50)-1</f>
        <v/>
      </c>
      <c r="H459" s="28">
        <f>H436+COUNT($B$50:$E$50)-1</f>
        <v/>
      </c>
      <c r="I459" s="28">
        <f>I436+COUNT($B$50:$E$50)-1</f>
        <v/>
      </c>
      <c r="J459" s="28">
        <f>J436+COUNT($B$50:$E$50)-1</f>
        <v/>
      </c>
      <c r="K459" s="28">
        <f>K436+COUNT($B$50:$E$50)-1</f>
        <v/>
      </c>
    </row>
    <row r="460">
      <c r="A460" s="2" t="inlineStr">
        <is>
          <t xml:space="preserve">  Ramp share: rows = cohort opened in year shown in column B; columns = calendar year.</t>
        </is>
      </c>
    </row>
    <row r="461">
      <c r="A461" t="inlineStr">
        <is>
          <t xml:space="preserve">    cohort</t>
        </is>
      </c>
      <c r="B461" s="31">
        <f>F436</f>
        <v/>
      </c>
      <c r="F461" s="29">
        <f>IF((F436-B461)&lt;0,0,INDEX($B$50:$E$50,MIN((F436-B461),COUNT($B$50:$E$50)-1)+1))</f>
        <v/>
      </c>
      <c r="G461" s="29">
        <f>IF((G436-B461)&lt;0,0,INDEX($B$50:$E$50,MIN((G436-B461),COUNT($B$50:$E$50)-1)+1))</f>
        <v/>
      </c>
      <c r="H461" s="29">
        <f>IF((H436-B461)&lt;0,0,INDEX($B$50:$E$50,MIN((H436-B461),COUNT($B$50:$E$50)-1)+1))</f>
        <v/>
      </c>
      <c r="I461" s="29">
        <f>IF((I436-B461)&lt;0,0,INDEX($B$50:$E$50,MIN((I436-B461),COUNT($B$50:$E$50)-1)+1))</f>
        <v/>
      </c>
      <c r="J461" s="29">
        <f>IF((J436-B461)&lt;0,0,INDEX($B$50:$E$50,MIN((J436-B461),COUNT($B$50:$E$50)-1)+1))</f>
        <v/>
      </c>
      <c r="K461" s="29">
        <f>IF((K436-B461)&lt;0,0,INDEX($B$50:$E$50,MIN((K436-B461),COUNT($B$50:$E$50)-1)+1))</f>
        <v/>
      </c>
    </row>
    <row r="462">
      <c r="A462" t="inlineStr">
        <is>
          <t xml:space="preserve">    cohort</t>
        </is>
      </c>
      <c r="B462" s="31">
        <f>G436</f>
        <v/>
      </c>
      <c r="F462" s="29">
        <f>IF((F436-B462)&lt;0,0,INDEX($B$50:$E$50,MIN((F436-B462),COUNT($B$50:$E$50)-1)+1))</f>
        <v/>
      </c>
      <c r="G462" s="29">
        <f>IF((G436-B462)&lt;0,0,INDEX($B$50:$E$50,MIN((G436-B462),COUNT($B$50:$E$50)-1)+1))</f>
        <v/>
      </c>
      <c r="H462" s="29">
        <f>IF((H436-B462)&lt;0,0,INDEX($B$50:$E$50,MIN((H436-B462),COUNT($B$50:$E$50)-1)+1))</f>
        <v/>
      </c>
      <c r="I462" s="29">
        <f>IF((I436-B462)&lt;0,0,INDEX($B$50:$E$50,MIN((I436-B462),COUNT($B$50:$E$50)-1)+1))</f>
        <v/>
      </c>
      <c r="J462" s="29">
        <f>IF((J436-B462)&lt;0,0,INDEX($B$50:$E$50,MIN((J436-B462),COUNT($B$50:$E$50)-1)+1))</f>
        <v/>
      </c>
      <c r="K462" s="29">
        <f>IF((K436-B462)&lt;0,0,INDEX($B$50:$E$50,MIN((K436-B462),COUNT($B$50:$E$50)-1)+1))</f>
        <v/>
      </c>
    </row>
    <row r="463">
      <c r="A463" t="inlineStr">
        <is>
          <t xml:space="preserve">    cohort</t>
        </is>
      </c>
      <c r="B463" s="31">
        <f>H436</f>
        <v/>
      </c>
      <c r="F463" s="29">
        <f>IF((F436-B463)&lt;0,0,INDEX($B$50:$E$50,MIN((F436-B463),COUNT($B$50:$E$50)-1)+1))</f>
        <v/>
      </c>
      <c r="G463" s="29">
        <f>IF((G436-B463)&lt;0,0,INDEX($B$50:$E$50,MIN((G436-B463),COUNT($B$50:$E$50)-1)+1))</f>
        <v/>
      </c>
      <c r="H463" s="29">
        <f>IF((H436-B463)&lt;0,0,INDEX($B$50:$E$50,MIN((H436-B463),COUNT($B$50:$E$50)-1)+1))</f>
        <v/>
      </c>
      <c r="I463" s="29">
        <f>IF((I436-B463)&lt;0,0,INDEX($B$50:$E$50,MIN((I436-B463),COUNT($B$50:$E$50)-1)+1))</f>
        <v/>
      </c>
      <c r="J463" s="29">
        <f>IF((J436-B463)&lt;0,0,INDEX($B$50:$E$50,MIN((J436-B463),COUNT($B$50:$E$50)-1)+1))</f>
        <v/>
      </c>
      <c r="K463" s="29">
        <f>IF((K436-B463)&lt;0,0,INDEX($B$50:$E$50,MIN((K436-B463),COUNT($B$50:$E$50)-1)+1))</f>
        <v/>
      </c>
    </row>
    <row r="464">
      <c r="A464" t="inlineStr">
        <is>
          <t xml:space="preserve">    cohort</t>
        </is>
      </c>
      <c r="B464" s="31">
        <f>I436</f>
        <v/>
      </c>
      <c r="F464" s="29">
        <f>IF((F436-B464)&lt;0,0,INDEX($B$50:$E$50,MIN((F436-B464),COUNT($B$50:$E$50)-1)+1))</f>
        <v/>
      </c>
      <c r="G464" s="29">
        <f>IF((G436-B464)&lt;0,0,INDEX($B$50:$E$50,MIN((G436-B464),COUNT($B$50:$E$50)-1)+1))</f>
        <v/>
      </c>
      <c r="H464" s="29">
        <f>IF((H436-B464)&lt;0,0,INDEX($B$50:$E$50,MIN((H436-B464),COUNT($B$50:$E$50)-1)+1))</f>
        <v/>
      </c>
      <c r="I464" s="29">
        <f>IF((I436-B464)&lt;0,0,INDEX($B$50:$E$50,MIN((I436-B464),COUNT($B$50:$E$50)-1)+1))</f>
        <v/>
      </c>
      <c r="J464" s="29">
        <f>IF((J436-B464)&lt;0,0,INDEX($B$50:$E$50,MIN((J436-B464),COUNT($B$50:$E$50)-1)+1))</f>
        <v/>
      </c>
      <c r="K464" s="29">
        <f>IF((K436-B464)&lt;0,0,INDEX($B$50:$E$50,MIN((K436-B464),COUNT($B$50:$E$50)-1)+1))</f>
        <v/>
      </c>
    </row>
    <row r="465">
      <c r="A465" t="inlineStr">
        <is>
          <t xml:space="preserve">    cohort</t>
        </is>
      </c>
      <c r="B465" s="31">
        <f>J436</f>
        <v/>
      </c>
      <c r="F465" s="29">
        <f>IF((F436-B465)&lt;0,0,INDEX($B$50:$E$50,MIN((F436-B465),COUNT($B$50:$E$50)-1)+1))</f>
        <v/>
      </c>
      <c r="G465" s="29">
        <f>IF((G436-B465)&lt;0,0,INDEX($B$50:$E$50,MIN((G436-B465),COUNT($B$50:$E$50)-1)+1))</f>
        <v/>
      </c>
      <c r="H465" s="29">
        <f>IF((H436-B465)&lt;0,0,INDEX($B$50:$E$50,MIN((H436-B465),COUNT($B$50:$E$50)-1)+1))</f>
        <v/>
      </c>
      <c r="I465" s="29">
        <f>IF((I436-B465)&lt;0,0,INDEX($B$50:$E$50,MIN((I436-B465),COUNT($B$50:$E$50)-1)+1))</f>
        <v/>
      </c>
      <c r="J465" s="29">
        <f>IF((J436-B465)&lt;0,0,INDEX($B$50:$E$50,MIN((J436-B465),COUNT($B$50:$E$50)-1)+1))</f>
        <v/>
      </c>
      <c r="K465" s="29">
        <f>IF((K436-B465)&lt;0,0,INDEX($B$50:$E$50,MIN((K436-B465),COUNT($B$50:$E$50)-1)+1))</f>
        <v/>
      </c>
    </row>
    <row r="466">
      <c r="A466" t="inlineStr">
        <is>
          <t xml:space="preserve">    cohort</t>
        </is>
      </c>
      <c r="B466" s="31">
        <f>K436</f>
        <v/>
      </c>
      <c r="F466" s="29">
        <f>IF((F436-B466)&lt;0,0,INDEX($B$50:$E$50,MIN((F436-B466),COUNT($B$50:$E$50)-1)+1))</f>
        <v/>
      </c>
      <c r="G466" s="29">
        <f>IF((G436-B466)&lt;0,0,INDEX($B$50:$E$50,MIN((G436-B466),COUNT($B$50:$E$50)-1)+1))</f>
        <v/>
      </c>
      <c r="H466" s="29">
        <f>IF((H436-B466)&lt;0,0,INDEX($B$50:$E$50,MIN((H436-B466),COUNT($B$50:$E$50)-1)+1))</f>
        <v/>
      </c>
      <c r="I466" s="29">
        <f>IF((I436-B466)&lt;0,0,INDEX($B$50:$E$50,MIN((I436-B466),COUNT($B$50:$E$50)-1)+1))</f>
        <v/>
      </c>
      <c r="J466" s="29">
        <f>IF((J436-B466)&lt;0,0,INDEX($B$50:$E$50,MIN((J436-B466),COUNT($B$50:$E$50)-1)+1))</f>
        <v/>
      </c>
      <c r="K466" s="29">
        <f>IF((K436-B466)&lt;0,0,INDEX($B$50:$E$50,MIN((K436-B466),COUNT($B$50:$E$50)-1)+1))</f>
        <v/>
      </c>
    </row>
    <row r="467">
      <c r="A467" s="2" t="inlineStr">
        <is>
          <t xml:space="preserve">  Growth since maturity (joins same-store base): rows = cohort opened in year shown in column B; columns = calendar year.</t>
        </is>
      </c>
    </row>
    <row r="468">
      <c r="A468" t="inlineStr">
        <is>
          <t xml:space="preserve">    cohort</t>
        </is>
      </c>
      <c r="B468" s="31">
        <f>F436</f>
        <v/>
      </c>
      <c r="F468" s="29">
        <f>IF(F436&gt;$F$459,F441/INDEX($F$441:$K$441,MIN($F$459-$F$436+1,6)),1)</f>
        <v/>
      </c>
      <c r="G468" s="29">
        <f>IF(G436&gt;$F$459,G441/INDEX($F$441:$K$441,MIN($F$459-$F$436+1,6)),1)</f>
        <v/>
      </c>
      <c r="H468" s="29">
        <f>IF(H436&gt;$F$459,H441/INDEX($F$441:$K$441,MIN($F$459-$F$436+1,6)),1)</f>
        <v/>
      </c>
      <c r="I468" s="29">
        <f>IF(I436&gt;$F$459,I441/INDEX($F$441:$K$441,MIN($F$459-$F$436+1,6)),1)</f>
        <v/>
      </c>
      <c r="J468" s="29">
        <f>IF(J436&gt;$F$459,J441/INDEX($F$441:$K$441,MIN($F$459-$F$436+1,6)),1)</f>
        <v/>
      </c>
      <c r="K468" s="29">
        <f>IF(K436&gt;$F$459,K441/INDEX($F$441:$K$441,MIN($F$459-$F$436+1,6)),1)</f>
        <v/>
      </c>
    </row>
    <row r="469">
      <c r="A469" t="inlineStr">
        <is>
          <t xml:space="preserve">    cohort</t>
        </is>
      </c>
      <c r="B469" s="31">
        <f>G436</f>
        <v/>
      </c>
      <c r="F469" s="29">
        <f>IF(F436&gt;$G$459,F441/INDEX($F$441:$K$441,MIN($G$459-$F$436+1,6)),1)</f>
        <v/>
      </c>
      <c r="G469" s="29">
        <f>IF(G436&gt;$G$459,G441/INDEX($F$441:$K$441,MIN($G$459-$F$436+1,6)),1)</f>
        <v/>
      </c>
      <c r="H469" s="29">
        <f>IF(H436&gt;$G$459,H441/INDEX($F$441:$K$441,MIN($G$459-$F$436+1,6)),1)</f>
        <v/>
      </c>
      <c r="I469" s="29">
        <f>IF(I436&gt;$G$459,I441/INDEX($F$441:$K$441,MIN($G$459-$F$436+1,6)),1)</f>
        <v/>
      </c>
      <c r="J469" s="29">
        <f>IF(J436&gt;$G$459,J441/INDEX($F$441:$K$441,MIN($G$459-$F$436+1,6)),1)</f>
        <v/>
      </c>
      <c r="K469" s="29">
        <f>IF(K436&gt;$G$459,K441/INDEX($F$441:$K$441,MIN($G$459-$F$436+1,6)),1)</f>
        <v/>
      </c>
    </row>
    <row r="470">
      <c r="A470" t="inlineStr">
        <is>
          <t xml:space="preserve">    cohort</t>
        </is>
      </c>
      <c r="B470" s="31">
        <f>H436</f>
        <v/>
      </c>
      <c r="F470" s="29">
        <f>IF(F436&gt;$H$459,F441/INDEX($F$441:$K$441,MIN($H$459-$F$436+1,6)),1)</f>
        <v/>
      </c>
      <c r="G470" s="29">
        <f>IF(G436&gt;$H$459,G441/INDEX($F$441:$K$441,MIN($H$459-$F$436+1,6)),1)</f>
        <v/>
      </c>
      <c r="H470" s="29">
        <f>IF(H436&gt;$H$459,H441/INDEX($F$441:$K$441,MIN($H$459-$F$436+1,6)),1)</f>
        <v/>
      </c>
      <c r="I470" s="29">
        <f>IF(I436&gt;$H$459,I441/INDEX($F$441:$K$441,MIN($H$459-$F$436+1,6)),1)</f>
        <v/>
      </c>
      <c r="J470" s="29">
        <f>IF(J436&gt;$H$459,J441/INDEX($F$441:$K$441,MIN($H$459-$F$436+1,6)),1)</f>
        <v/>
      </c>
      <c r="K470" s="29">
        <f>IF(K436&gt;$H$459,K441/INDEX($F$441:$K$441,MIN($H$459-$F$436+1,6)),1)</f>
        <v/>
      </c>
    </row>
    <row r="471">
      <c r="A471" t="inlineStr">
        <is>
          <t xml:space="preserve">    cohort</t>
        </is>
      </c>
      <c r="B471" s="31">
        <f>I436</f>
        <v/>
      </c>
      <c r="F471" s="29">
        <f>IF(F436&gt;$I$459,F441/INDEX($F$441:$K$441,MIN($I$459-$F$436+1,6)),1)</f>
        <v/>
      </c>
      <c r="G471" s="29">
        <f>IF(G436&gt;$I$459,G441/INDEX($F$441:$K$441,MIN($I$459-$F$436+1,6)),1)</f>
        <v/>
      </c>
      <c r="H471" s="29">
        <f>IF(H436&gt;$I$459,H441/INDEX($F$441:$K$441,MIN($I$459-$F$436+1,6)),1)</f>
        <v/>
      </c>
      <c r="I471" s="29">
        <f>IF(I436&gt;$I$459,I441/INDEX($F$441:$K$441,MIN($I$459-$F$436+1,6)),1)</f>
        <v/>
      </c>
      <c r="J471" s="29">
        <f>IF(J436&gt;$I$459,J441/INDEX($F$441:$K$441,MIN($I$459-$F$436+1,6)),1)</f>
        <v/>
      </c>
      <c r="K471" s="29">
        <f>IF(K436&gt;$I$459,K441/INDEX($F$441:$K$441,MIN($I$459-$F$436+1,6)),1)</f>
        <v/>
      </c>
    </row>
    <row r="472">
      <c r="A472" t="inlineStr">
        <is>
          <t xml:space="preserve">    cohort</t>
        </is>
      </c>
      <c r="B472" s="31">
        <f>J436</f>
        <v/>
      </c>
      <c r="F472" s="29">
        <f>IF(F436&gt;$J$459,F441/INDEX($F$441:$K$441,MIN($J$459-$F$436+1,6)),1)</f>
        <v/>
      </c>
      <c r="G472" s="29">
        <f>IF(G436&gt;$J$459,G441/INDEX($F$441:$K$441,MIN($J$459-$F$436+1,6)),1)</f>
        <v/>
      </c>
      <c r="H472" s="29">
        <f>IF(H436&gt;$J$459,H441/INDEX($F$441:$K$441,MIN($J$459-$F$436+1,6)),1)</f>
        <v/>
      </c>
      <c r="I472" s="29">
        <f>IF(I436&gt;$J$459,I441/INDEX($F$441:$K$441,MIN($J$459-$F$436+1,6)),1)</f>
        <v/>
      </c>
      <c r="J472" s="29">
        <f>IF(J436&gt;$J$459,J441/INDEX($F$441:$K$441,MIN($J$459-$F$436+1,6)),1)</f>
        <v/>
      </c>
      <c r="K472" s="29">
        <f>IF(K436&gt;$J$459,K441/INDEX($F$441:$K$441,MIN($J$459-$F$436+1,6)),1)</f>
        <v/>
      </c>
    </row>
    <row r="473">
      <c r="A473" t="inlineStr">
        <is>
          <t xml:space="preserve">    cohort</t>
        </is>
      </c>
      <c r="B473" s="31">
        <f>K436</f>
        <v/>
      </c>
      <c r="F473" s="29">
        <f>IF(F436&gt;$K$459,F441/INDEX($F$441:$K$441,MIN($K$459-$F$436+1,6)),1)</f>
        <v/>
      </c>
      <c r="G473" s="29">
        <f>IF(G436&gt;$K$459,G441/INDEX($F$441:$K$441,MIN($K$459-$F$436+1,6)),1)</f>
        <v/>
      </c>
      <c r="H473" s="29">
        <f>IF(H436&gt;$K$459,H441/INDEX($F$441:$K$441,MIN($K$459-$F$436+1,6)),1)</f>
        <v/>
      </c>
      <c r="I473" s="29">
        <f>IF(I436&gt;$K$459,I441/INDEX($F$441:$K$441,MIN($K$459-$F$436+1,6)),1)</f>
        <v/>
      </c>
      <c r="J473" s="29">
        <f>IF(J436&gt;$K$459,J441/INDEX($F$441:$K$441,MIN($K$459-$F$436+1,6)),1)</f>
        <v/>
      </c>
      <c r="K473" s="29">
        <f>IF(K436&gt;$K$459,K441/INDEX($F$441:$K$441,MIN($K$459-$F$436+1,6)),1)</f>
        <v/>
      </c>
    </row>
    <row r="474">
      <c r="A474" s="2" t="inlineStr">
        <is>
          <t xml:space="preserve">  Run-rate EBITDA after rent (as if fully ramped): rows = cohort opened in year shown in column B; columns = calendar year.</t>
        </is>
      </c>
    </row>
    <row r="475">
      <c r="A475" t="inlineStr">
        <is>
          <t xml:space="preserve">    cohort</t>
        </is>
      </c>
      <c r="B475" s="31">
        <f>F436</f>
        <v/>
      </c>
      <c r="F475" s="24">
        <f>IF(F436&gt;=B475,$B$98*$F$457*F468,0)</f>
        <v/>
      </c>
      <c r="G475" s="24">
        <f>IF(G436&gt;=B475,$B$98*$F$457*G468,0)</f>
        <v/>
      </c>
      <c r="H475" s="24">
        <f>IF(H436&gt;=B475,$B$98*$F$457*H468,0)</f>
        <v/>
      </c>
      <c r="I475" s="24">
        <f>IF(I436&gt;=B475,$B$98*$F$457*I468,0)</f>
        <v/>
      </c>
      <c r="J475" s="24">
        <f>IF(J436&gt;=B475,$B$98*$F$457*J468,0)</f>
        <v/>
      </c>
      <c r="K475" s="24">
        <f>IF(K436&gt;=B475,$B$98*$F$457*K468,0)</f>
        <v/>
      </c>
    </row>
    <row r="476">
      <c r="A476" t="inlineStr">
        <is>
          <t xml:space="preserve">    cohort</t>
        </is>
      </c>
      <c r="B476" s="31">
        <f>G436</f>
        <v/>
      </c>
      <c r="F476" s="24">
        <f>IF(F436&gt;=B476,$B$98*$G$457*F469,0)</f>
        <v/>
      </c>
      <c r="G476" s="24">
        <f>IF(G436&gt;=B476,$B$98*$G$457*G469,0)</f>
        <v/>
      </c>
      <c r="H476" s="24">
        <f>IF(H436&gt;=B476,$B$98*$G$457*H469,0)</f>
        <v/>
      </c>
      <c r="I476" s="24">
        <f>IF(I436&gt;=B476,$B$98*$G$457*I469,0)</f>
        <v/>
      </c>
      <c r="J476" s="24">
        <f>IF(J436&gt;=B476,$B$98*$G$457*J469,0)</f>
        <v/>
      </c>
      <c r="K476" s="24">
        <f>IF(K436&gt;=B476,$B$98*$G$457*K469,0)</f>
        <v/>
      </c>
    </row>
    <row r="477">
      <c r="A477" t="inlineStr">
        <is>
          <t xml:space="preserve">    cohort</t>
        </is>
      </c>
      <c r="B477" s="31">
        <f>H436</f>
        <v/>
      </c>
      <c r="F477" s="24">
        <f>IF(F436&gt;=B477,$B$98*$H$457*F470,0)</f>
        <v/>
      </c>
      <c r="G477" s="24">
        <f>IF(G436&gt;=B477,$B$98*$H$457*G470,0)</f>
        <v/>
      </c>
      <c r="H477" s="24">
        <f>IF(H436&gt;=B477,$B$98*$H$457*H470,0)</f>
        <v/>
      </c>
      <c r="I477" s="24">
        <f>IF(I436&gt;=B477,$B$98*$H$457*I470,0)</f>
        <v/>
      </c>
      <c r="J477" s="24">
        <f>IF(J436&gt;=B477,$B$98*$H$457*J470,0)</f>
        <v/>
      </c>
      <c r="K477" s="24">
        <f>IF(K436&gt;=B477,$B$98*$H$457*K470,0)</f>
        <v/>
      </c>
    </row>
    <row r="478">
      <c r="A478" t="inlineStr">
        <is>
          <t xml:space="preserve">    cohort</t>
        </is>
      </c>
      <c r="B478" s="31">
        <f>I436</f>
        <v/>
      </c>
      <c r="F478" s="24">
        <f>IF(F436&gt;=B478,$B$98*$I$457*F471,0)</f>
        <v/>
      </c>
      <c r="G478" s="24">
        <f>IF(G436&gt;=B478,$B$98*$I$457*G471,0)</f>
        <v/>
      </c>
      <c r="H478" s="24">
        <f>IF(H436&gt;=B478,$B$98*$I$457*H471,0)</f>
        <v/>
      </c>
      <c r="I478" s="24">
        <f>IF(I436&gt;=B478,$B$98*$I$457*I471,0)</f>
        <v/>
      </c>
      <c r="J478" s="24">
        <f>IF(J436&gt;=B478,$B$98*$I$457*J471,0)</f>
        <v/>
      </c>
      <c r="K478" s="24">
        <f>IF(K436&gt;=B478,$B$98*$I$457*K471,0)</f>
        <v/>
      </c>
    </row>
    <row r="479">
      <c r="A479" t="inlineStr">
        <is>
          <t xml:space="preserve">    cohort</t>
        </is>
      </c>
      <c r="B479" s="31">
        <f>J436</f>
        <v/>
      </c>
      <c r="F479" s="24">
        <f>IF(F436&gt;=B479,$B$98*$J$457*F472,0)</f>
        <v/>
      </c>
      <c r="G479" s="24">
        <f>IF(G436&gt;=B479,$B$98*$J$457*G472,0)</f>
        <v/>
      </c>
      <c r="H479" s="24">
        <f>IF(H436&gt;=B479,$B$98*$J$457*H472,0)</f>
        <v/>
      </c>
      <c r="I479" s="24">
        <f>IF(I436&gt;=B479,$B$98*$J$457*I472,0)</f>
        <v/>
      </c>
      <c r="J479" s="24">
        <f>IF(J436&gt;=B479,$B$98*$J$457*J472,0)</f>
        <v/>
      </c>
      <c r="K479" s="24">
        <f>IF(K436&gt;=B479,$B$98*$J$457*K472,0)</f>
        <v/>
      </c>
    </row>
    <row r="480">
      <c r="A480" t="inlineStr">
        <is>
          <t xml:space="preserve">    cohort</t>
        </is>
      </c>
      <c r="B480" s="31">
        <f>K436</f>
        <v/>
      </c>
      <c r="F480" s="24">
        <f>IF(F436&gt;=B480,$B$98*$K$457*F473,0)</f>
        <v/>
      </c>
      <c r="G480" s="24">
        <f>IF(G436&gt;=B480,$B$98*$K$457*G473,0)</f>
        <v/>
      </c>
      <c r="H480" s="24">
        <f>IF(H436&gt;=B480,$B$98*$K$457*H473,0)</f>
        <v/>
      </c>
      <c r="I480" s="24">
        <f>IF(I436&gt;=B480,$B$98*$K$457*I473,0)</f>
        <v/>
      </c>
      <c r="J480" s="24">
        <f>IF(J436&gt;=B480,$B$98*$K$457*J473,0)</f>
        <v/>
      </c>
      <c r="K480" s="24">
        <f>IF(K436&gt;=B480,$B$98*$K$457*K473,0)</f>
        <v/>
      </c>
    </row>
    <row r="481">
      <c r="A481" s="2" t="inlineStr">
        <is>
          <t xml:space="preserve">  Run-rate sales (as if fully ramped): rows = cohort opened in year shown in column B; columns = calendar year.</t>
        </is>
      </c>
    </row>
    <row r="482">
      <c r="A482" t="inlineStr">
        <is>
          <t xml:space="preserve">    cohort</t>
        </is>
      </c>
      <c r="B482" s="31">
        <f>F436</f>
        <v/>
      </c>
      <c r="F482" s="24">
        <f>IF(F436&gt;=B482,$F$458*F441,0)</f>
        <v/>
      </c>
      <c r="G482" s="24">
        <f>IF(G436&gt;=B482,$F$458*G441,0)</f>
        <v/>
      </c>
      <c r="H482" s="24">
        <f>IF(H436&gt;=B482,$F$458*H441,0)</f>
        <v/>
      </c>
      <c r="I482" s="24">
        <f>IF(I436&gt;=B482,$F$458*I441,0)</f>
        <v/>
      </c>
      <c r="J482" s="24">
        <f>IF(J436&gt;=B482,$F$458*J441,0)</f>
        <v/>
      </c>
      <c r="K482" s="24">
        <f>IF(K436&gt;=B482,$F$458*K441,0)</f>
        <v/>
      </c>
    </row>
    <row r="483">
      <c r="A483" t="inlineStr">
        <is>
          <t xml:space="preserve">    cohort</t>
        </is>
      </c>
      <c r="B483" s="31">
        <f>G436</f>
        <v/>
      </c>
      <c r="F483" s="24">
        <f>IF(F436&gt;=B483,$G$458*F441,0)</f>
        <v/>
      </c>
      <c r="G483" s="24">
        <f>IF(G436&gt;=B483,$G$458*G441,0)</f>
        <v/>
      </c>
      <c r="H483" s="24">
        <f>IF(H436&gt;=B483,$G$458*H441,0)</f>
        <v/>
      </c>
      <c r="I483" s="24">
        <f>IF(I436&gt;=B483,$G$458*I441,0)</f>
        <v/>
      </c>
      <c r="J483" s="24">
        <f>IF(J436&gt;=B483,$G$458*J441,0)</f>
        <v/>
      </c>
      <c r="K483" s="24">
        <f>IF(K436&gt;=B483,$G$458*K441,0)</f>
        <v/>
      </c>
    </row>
    <row r="484">
      <c r="A484" t="inlineStr">
        <is>
          <t xml:space="preserve">    cohort</t>
        </is>
      </c>
      <c r="B484" s="31">
        <f>H436</f>
        <v/>
      </c>
      <c r="F484" s="24">
        <f>IF(F436&gt;=B484,$H$458*F441,0)</f>
        <v/>
      </c>
      <c r="G484" s="24">
        <f>IF(G436&gt;=B484,$H$458*G441,0)</f>
        <v/>
      </c>
      <c r="H484" s="24">
        <f>IF(H436&gt;=B484,$H$458*H441,0)</f>
        <v/>
      </c>
      <c r="I484" s="24">
        <f>IF(I436&gt;=B484,$H$458*I441,0)</f>
        <v/>
      </c>
      <c r="J484" s="24">
        <f>IF(J436&gt;=B484,$H$458*J441,0)</f>
        <v/>
      </c>
      <c r="K484" s="24">
        <f>IF(K436&gt;=B484,$H$458*K441,0)</f>
        <v/>
      </c>
    </row>
    <row r="485">
      <c r="A485" t="inlineStr">
        <is>
          <t xml:space="preserve">    cohort</t>
        </is>
      </c>
      <c r="B485" s="31">
        <f>I436</f>
        <v/>
      </c>
      <c r="F485" s="24">
        <f>IF(F436&gt;=B485,$I$458*F441,0)</f>
        <v/>
      </c>
      <c r="G485" s="24">
        <f>IF(G436&gt;=B485,$I$458*G441,0)</f>
        <v/>
      </c>
      <c r="H485" s="24">
        <f>IF(H436&gt;=B485,$I$458*H441,0)</f>
        <v/>
      </c>
      <c r="I485" s="24">
        <f>IF(I436&gt;=B485,$I$458*I441,0)</f>
        <v/>
      </c>
      <c r="J485" s="24">
        <f>IF(J436&gt;=B485,$I$458*J441,0)</f>
        <v/>
      </c>
      <c r="K485" s="24">
        <f>IF(K436&gt;=B485,$I$458*K441,0)</f>
        <v/>
      </c>
    </row>
    <row r="486">
      <c r="A486" t="inlineStr">
        <is>
          <t xml:space="preserve">    cohort</t>
        </is>
      </c>
      <c r="B486" s="31">
        <f>J436</f>
        <v/>
      </c>
      <c r="F486" s="24">
        <f>IF(F436&gt;=B486,$J$458*F441,0)</f>
        <v/>
      </c>
      <c r="G486" s="24">
        <f>IF(G436&gt;=B486,$J$458*G441,0)</f>
        <v/>
      </c>
      <c r="H486" s="24">
        <f>IF(H436&gt;=B486,$J$458*H441,0)</f>
        <v/>
      </c>
      <c r="I486" s="24">
        <f>IF(I436&gt;=B486,$J$458*I441,0)</f>
        <v/>
      </c>
      <c r="J486" s="24">
        <f>IF(J436&gt;=B486,$J$458*J441,0)</f>
        <v/>
      </c>
      <c r="K486" s="24">
        <f>IF(K436&gt;=B486,$J$458*K441,0)</f>
        <v/>
      </c>
    </row>
    <row r="487">
      <c r="A487" t="inlineStr">
        <is>
          <t xml:space="preserve">    cohort</t>
        </is>
      </c>
      <c r="B487" s="31">
        <f>K436</f>
        <v/>
      </c>
      <c r="F487" s="24">
        <f>IF(F436&gt;=B487,$K$458*F441,0)</f>
        <v/>
      </c>
      <c r="G487" s="24">
        <f>IF(G436&gt;=B487,$K$458*G441,0)</f>
        <v/>
      </c>
      <c r="H487" s="24">
        <f>IF(H436&gt;=B487,$K$458*H441,0)</f>
        <v/>
      </c>
      <c r="I487" s="24">
        <f>IF(I436&gt;=B487,$K$458*I441,0)</f>
        <v/>
      </c>
      <c r="J487" s="24">
        <f>IF(J436&gt;=B487,$K$458*J441,0)</f>
        <v/>
      </c>
      <c r="K487" s="24">
        <f>IF(K436&gt;=B487,$K$458*K441,0)</f>
        <v/>
      </c>
    </row>
    <row r="488">
      <c r="A488" s="2" t="inlineStr">
        <is>
          <t xml:space="preserve">  EBITDA after rent = run-rate x ramp share: rows = cohort opened in year shown in column B; columns = calendar year.</t>
        </is>
      </c>
    </row>
    <row r="489">
      <c r="A489" t="inlineStr">
        <is>
          <t xml:space="preserve">    cohort</t>
        </is>
      </c>
      <c r="B489" s="31">
        <f>F436</f>
        <v/>
      </c>
      <c r="F489" s="24">
        <f>F475*F461</f>
        <v/>
      </c>
      <c r="G489" s="24">
        <f>G475*G461</f>
        <v/>
      </c>
      <c r="H489" s="24">
        <f>H475*H461</f>
        <v/>
      </c>
      <c r="I489" s="24">
        <f>I475*I461</f>
        <v/>
      </c>
      <c r="J489" s="24">
        <f>J475*J461</f>
        <v/>
      </c>
      <c r="K489" s="24">
        <f>K475*K461</f>
        <v/>
      </c>
    </row>
    <row r="490">
      <c r="A490" t="inlineStr">
        <is>
          <t xml:space="preserve">    cohort</t>
        </is>
      </c>
      <c r="B490" s="31">
        <f>G436</f>
        <v/>
      </c>
      <c r="F490" s="24">
        <f>F476*F462</f>
        <v/>
      </c>
      <c r="G490" s="24">
        <f>G476*G462</f>
        <v/>
      </c>
      <c r="H490" s="24">
        <f>H476*H462</f>
        <v/>
      </c>
      <c r="I490" s="24">
        <f>I476*I462</f>
        <v/>
      </c>
      <c r="J490" s="24">
        <f>J476*J462</f>
        <v/>
      </c>
      <c r="K490" s="24">
        <f>K476*K462</f>
        <v/>
      </c>
    </row>
    <row r="491">
      <c r="A491" t="inlineStr">
        <is>
          <t xml:space="preserve">    cohort</t>
        </is>
      </c>
      <c r="B491" s="31">
        <f>H436</f>
        <v/>
      </c>
      <c r="F491" s="24">
        <f>F477*F463</f>
        <v/>
      </c>
      <c r="G491" s="24">
        <f>G477*G463</f>
        <v/>
      </c>
      <c r="H491" s="24">
        <f>H477*H463</f>
        <v/>
      </c>
      <c r="I491" s="24">
        <f>I477*I463</f>
        <v/>
      </c>
      <c r="J491" s="24">
        <f>J477*J463</f>
        <v/>
      </c>
      <c r="K491" s="24">
        <f>K477*K463</f>
        <v/>
      </c>
    </row>
    <row r="492">
      <c r="A492" t="inlineStr">
        <is>
          <t xml:space="preserve">    cohort</t>
        </is>
      </c>
      <c r="B492" s="31">
        <f>I436</f>
        <v/>
      </c>
      <c r="F492" s="24">
        <f>F478*F464</f>
        <v/>
      </c>
      <c r="G492" s="24">
        <f>G478*G464</f>
        <v/>
      </c>
      <c r="H492" s="24">
        <f>H478*H464</f>
        <v/>
      </c>
      <c r="I492" s="24">
        <f>I478*I464</f>
        <v/>
      </c>
      <c r="J492" s="24">
        <f>J478*J464</f>
        <v/>
      </c>
      <c r="K492" s="24">
        <f>K478*K464</f>
        <v/>
      </c>
    </row>
    <row r="493">
      <c r="A493" t="inlineStr">
        <is>
          <t xml:space="preserve">    cohort</t>
        </is>
      </c>
      <c r="B493" s="31">
        <f>J436</f>
        <v/>
      </c>
      <c r="F493" s="24">
        <f>F479*F465</f>
        <v/>
      </c>
      <c r="G493" s="24">
        <f>G479*G465</f>
        <v/>
      </c>
      <c r="H493" s="24">
        <f>H479*H465</f>
        <v/>
      </c>
      <c r="I493" s="24">
        <f>I479*I465</f>
        <v/>
      </c>
      <c r="J493" s="24">
        <f>J479*J465</f>
        <v/>
      </c>
      <c r="K493" s="24">
        <f>K479*K465</f>
        <v/>
      </c>
    </row>
    <row r="494">
      <c r="A494" t="inlineStr">
        <is>
          <t xml:space="preserve">    cohort</t>
        </is>
      </c>
      <c r="B494" s="31">
        <f>K436</f>
        <v/>
      </c>
      <c r="F494" s="24">
        <f>F480*F466</f>
        <v/>
      </c>
      <c r="G494" s="24">
        <f>G480*G466</f>
        <v/>
      </c>
      <c r="H494" s="24">
        <f>H480*H466</f>
        <v/>
      </c>
      <c r="I494" s="24">
        <f>I480*I466</f>
        <v/>
      </c>
      <c r="J494" s="24">
        <f>J480*J466</f>
        <v/>
      </c>
      <c r="K494" s="24">
        <f>K480*K466</f>
        <v/>
      </c>
    </row>
    <row r="495">
      <c r="A495" s="2" t="inlineStr">
        <is>
          <t xml:space="preserve">  Sales = run-rate x ramp share: rows = cohort opened in year shown in column B; columns = calendar year.</t>
        </is>
      </c>
    </row>
    <row r="496">
      <c r="A496" t="inlineStr">
        <is>
          <t xml:space="preserve">    cohort</t>
        </is>
      </c>
      <c r="B496" s="31">
        <f>F436</f>
        <v/>
      </c>
      <c r="F496" s="24">
        <f>F482*F461</f>
        <v/>
      </c>
      <c r="G496" s="24">
        <f>G482*G461</f>
        <v/>
      </c>
      <c r="H496" s="24">
        <f>H482*H461</f>
        <v/>
      </c>
      <c r="I496" s="24">
        <f>I482*I461</f>
        <v/>
      </c>
      <c r="J496" s="24">
        <f>J482*J461</f>
        <v/>
      </c>
      <c r="K496" s="24">
        <f>K482*K461</f>
        <v/>
      </c>
    </row>
    <row r="497">
      <c r="A497" t="inlineStr">
        <is>
          <t xml:space="preserve">    cohort</t>
        </is>
      </c>
      <c r="B497" s="31">
        <f>G436</f>
        <v/>
      </c>
      <c r="F497" s="24">
        <f>F483*F462</f>
        <v/>
      </c>
      <c r="G497" s="24">
        <f>G483*G462</f>
        <v/>
      </c>
      <c r="H497" s="24">
        <f>H483*H462</f>
        <v/>
      </c>
      <c r="I497" s="24">
        <f>I483*I462</f>
        <v/>
      </c>
      <c r="J497" s="24">
        <f>J483*J462</f>
        <v/>
      </c>
      <c r="K497" s="24">
        <f>K483*K462</f>
        <v/>
      </c>
    </row>
    <row r="498">
      <c r="A498" t="inlineStr">
        <is>
          <t xml:space="preserve">    cohort</t>
        </is>
      </c>
      <c r="B498" s="31">
        <f>H436</f>
        <v/>
      </c>
      <c r="F498" s="24">
        <f>F484*F463</f>
        <v/>
      </c>
      <c r="G498" s="24">
        <f>G484*G463</f>
        <v/>
      </c>
      <c r="H498" s="24">
        <f>H484*H463</f>
        <v/>
      </c>
      <c r="I498" s="24">
        <f>I484*I463</f>
        <v/>
      </c>
      <c r="J498" s="24">
        <f>J484*J463</f>
        <v/>
      </c>
      <c r="K498" s="24">
        <f>K484*K463</f>
        <v/>
      </c>
    </row>
    <row r="499">
      <c r="A499" t="inlineStr">
        <is>
          <t xml:space="preserve">    cohort</t>
        </is>
      </c>
      <c r="B499" s="31">
        <f>I436</f>
        <v/>
      </c>
      <c r="F499" s="24">
        <f>F485*F464</f>
        <v/>
      </c>
      <c r="G499" s="24">
        <f>G485*G464</f>
        <v/>
      </c>
      <c r="H499" s="24">
        <f>H485*H464</f>
        <v/>
      </c>
      <c r="I499" s="24">
        <f>I485*I464</f>
        <v/>
      </c>
      <c r="J499" s="24">
        <f>J485*J464</f>
        <v/>
      </c>
      <c r="K499" s="24">
        <f>K485*K464</f>
        <v/>
      </c>
    </row>
    <row r="500">
      <c r="A500" t="inlineStr">
        <is>
          <t xml:space="preserve">    cohort</t>
        </is>
      </c>
      <c r="B500" s="31">
        <f>J436</f>
        <v/>
      </c>
      <c r="F500" s="24">
        <f>F486*F465</f>
        <v/>
      </c>
      <c r="G500" s="24">
        <f>G486*G465</f>
        <v/>
      </c>
      <c r="H500" s="24">
        <f>H486*H465</f>
        <v/>
      </c>
      <c r="I500" s="24">
        <f>I486*I465</f>
        <v/>
      </c>
      <c r="J500" s="24">
        <f>J486*J465</f>
        <v/>
      </c>
      <c r="K500" s="24">
        <f>K486*K465</f>
        <v/>
      </c>
    </row>
    <row r="501">
      <c r="A501" t="inlineStr">
        <is>
          <t xml:space="preserve">    cohort</t>
        </is>
      </c>
      <c r="B501" s="31">
        <f>K436</f>
        <v/>
      </c>
      <c r="F501" s="24">
        <f>F487*F466</f>
        <v/>
      </c>
      <c r="G501" s="24">
        <f>G487*G466</f>
        <v/>
      </c>
      <c r="H501" s="24">
        <f>H487*H466</f>
        <v/>
      </c>
      <c r="I501" s="24">
        <f>I487*I466</f>
        <v/>
      </c>
      <c r="J501" s="24">
        <f>J487*J466</f>
        <v/>
      </c>
      <c r="K501" s="24">
        <f>K487*K466</f>
        <v/>
      </c>
    </row>
    <row r="502">
      <c r="A502" t="inlineStr">
        <is>
          <t>New locations opened in year</t>
        </is>
      </c>
      <c r="F502" s="32">
        <f>F454+F455</f>
        <v/>
      </c>
      <c r="G502" s="32">
        <f>G454+G455</f>
        <v/>
      </c>
      <c r="H502" s="32">
        <f>H454+H455</f>
        <v/>
      </c>
      <c r="I502" s="32">
        <f>I454+I455</f>
        <v/>
      </c>
      <c r="J502" s="32">
        <f>J454+J455</f>
        <v/>
      </c>
      <c r="K502" s="32">
        <f>K454+K455</f>
        <v/>
      </c>
    </row>
    <row r="503">
      <c r="A503" t="inlineStr">
        <is>
          <t>New locations open, cumulative</t>
        </is>
      </c>
      <c r="F503" s="32">
        <f>F502</f>
        <v/>
      </c>
      <c r="G503" s="32">
        <f>F503+G502</f>
        <v/>
      </c>
      <c r="H503" s="32">
        <f>G503+H502</f>
        <v/>
      </c>
      <c r="I503" s="32">
        <f>H503+I502</f>
        <v/>
      </c>
      <c r="J503" s="32">
        <f>I503+J502</f>
        <v/>
      </c>
      <c r="K503" s="32">
        <f>J503+K502</f>
        <v/>
      </c>
    </row>
    <row r="504">
      <c r="A504" t="inlineStr">
        <is>
          <t>Growth capex (this year's cohort cost)</t>
        </is>
      </c>
      <c r="F504" s="24">
        <f>F457</f>
        <v/>
      </c>
      <c r="G504" s="24">
        <f>G457</f>
        <v/>
      </c>
      <c r="H504" s="24">
        <f>H457</f>
        <v/>
      </c>
      <c r="I504" s="24">
        <f>I457</f>
        <v/>
      </c>
      <c r="J504" s="24">
        <f>J457</f>
        <v/>
      </c>
      <c r="K504" s="24">
        <f>K457</f>
        <v/>
      </c>
    </row>
    <row r="505">
      <c r="A505" s="20" t="inlineStr">
        <is>
          <t>New-location EBITDA after rent</t>
        </is>
      </c>
      <c r="F505" s="25">
        <f>SUM(F489:F494)</f>
        <v/>
      </c>
      <c r="G505" s="25">
        <f>SUM(G489:G494)</f>
        <v/>
      </c>
      <c r="H505" s="25">
        <f>SUM(H489:H494)</f>
        <v/>
      </c>
      <c r="I505" s="25">
        <f>SUM(I489:I494)</f>
        <v/>
      </c>
      <c r="J505" s="25">
        <f>SUM(J489:J494)</f>
        <v/>
      </c>
      <c r="K505" s="25">
        <f>SUM(K489:K494)</f>
        <v/>
      </c>
    </row>
    <row r="506">
      <c r="A506" t="inlineStr">
        <is>
          <t>New-location sales</t>
        </is>
      </c>
      <c r="F506" s="24">
        <f>SUM(F496:F501)</f>
        <v/>
      </c>
      <c r="G506" s="24">
        <f>SUM(G496:G501)</f>
        <v/>
      </c>
      <c r="H506" s="24">
        <f>SUM(H496:H501)</f>
        <v/>
      </c>
      <c r="I506" s="24">
        <f>SUM(I496:I501)</f>
        <v/>
      </c>
      <c r="J506" s="24">
        <f>SUM(J496:J501)</f>
        <v/>
      </c>
      <c r="K506" s="24">
        <f>SUM(K496:K501)</f>
        <v/>
      </c>
    </row>
    <row r="507">
      <c r="A507" t="inlineStr">
        <is>
          <t>Memo: new-location run-rate EBITDA after rent</t>
        </is>
      </c>
      <c r="F507" s="24">
        <f>SUM(F475:F480)</f>
        <v/>
      </c>
      <c r="G507" s="24">
        <f>SUM(G475:G480)</f>
        <v/>
      </c>
      <c r="H507" s="24">
        <f>SUM(H475:H480)</f>
        <v/>
      </c>
      <c r="I507" s="24">
        <f>SUM(I475:I480)</f>
        <v/>
      </c>
      <c r="J507" s="24">
        <f>SUM(J475:J480)</f>
        <v/>
      </c>
      <c r="K507" s="24">
        <f>SUM(K475:K480)</f>
        <v/>
      </c>
    </row>
    <row r="508">
      <c r="A508" t="inlineStr">
        <is>
          <t>Memo: new-location run-rate sales</t>
        </is>
      </c>
      <c r="F508" s="24">
        <f>SUM(F482:F487)</f>
        <v/>
      </c>
      <c r="G508" s="24">
        <f>SUM(G482:G487)</f>
        <v/>
      </c>
      <c r="H508" s="24">
        <f>SUM(H482:H487)</f>
        <v/>
      </c>
      <c r="I508" s="24">
        <f>SUM(I482:I487)</f>
        <v/>
      </c>
      <c r="J508" s="24">
        <f>SUM(J482:J487)</f>
        <v/>
      </c>
      <c r="K508" s="24">
        <f>SUM(K482:K487)</f>
        <v/>
      </c>
    </row>
    <row r="509">
      <c r="A509" t="inlineStr">
        <is>
          <t>Memo: new-location rent (sales x network rent ratio)</t>
        </is>
      </c>
      <c r="F509" s="24">
        <f>F452*F506</f>
        <v/>
      </c>
      <c r="G509" s="24">
        <f>G452*G506</f>
        <v/>
      </c>
      <c r="H509" s="24">
        <f>H452*H506</f>
        <v/>
      </c>
      <c r="I509" s="24">
        <f>I452*I506</f>
        <v/>
      </c>
      <c r="J509" s="24">
        <f>J452*J506</f>
        <v/>
      </c>
      <c r="K509" s="24">
        <f>K452*K506</f>
        <v/>
      </c>
      <c r="L509" s="10" t="inlineStr">
        <is>
          <t>Presentation only: new-location earnings are modelled after rent</t>
        </is>
      </c>
    </row>
    <row r="510">
      <c r="A510" s="20" t="inlineStr">
        <is>
          <t>Total sales</t>
        </is>
      </c>
      <c r="F510" s="25">
        <f>F444+F506</f>
        <v/>
      </c>
      <c r="G510" s="25">
        <f>G444+G506</f>
        <v/>
      </c>
      <c r="H510" s="25">
        <f>H444+H506</f>
        <v/>
      </c>
      <c r="I510" s="25">
        <f>I444+I506</f>
        <v/>
      </c>
      <c r="J510" s="25">
        <f>J444+J506</f>
        <v/>
      </c>
      <c r="K510" s="25">
        <f>K444+K506</f>
        <v/>
      </c>
    </row>
    <row r="511">
      <c r="A511" t="inlineStr">
        <is>
          <t>Total Adjusted EBITDA (memo, pre-rent)</t>
        </is>
      </c>
      <c r="F511" s="24">
        <f>F449+F505+F509</f>
        <v/>
      </c>
      <c r="G511" s="24">
        <f>G449+G505+G509</f>
        <v/>
      </c>
      <c r="H511" s="24">
        <f>H449+H505+H509</f>
        <v/>
      </c>
      <c r="I511" s="24">
        <f>I449+I505+I509</f>
        <v/>
      </c>
      <c r="J511" s="24">
        <f>J449+J505+J509</f>
        <v/>
      </c>
      <c r="K511" s="24">
        <f>K449+K505+K509</f>
        <v/>
      </c>
    </row>
    <row r="512">
      <c r="A512" s="20" t="inlineStr">
        <is>
          <t>EBITDA after rent</t>
        </is>
      </c>
      <c r="F512" s="25">
        <f>F449-F451+F505</f>
        <v/>
      </c>
      <c r="G512" s="25">
        <f>G449-G451+G505</f>
        <v/>
      </c>
      <c r="H512" s="25">
        <f>H449-H451+H505</f>
        <v/>
      </c>
      <c r="I512" s="25">
        <f>I449-I451+I505</f>
        <v/>
      </c>
      <c r="J512" s="25">
        <f>J449-J451+J505</f>
        <v/>
      </c>
      <c r="K512" s="25">
        <f>K449-K451+K505</f>
        <v/>
      </c>
    </row>
    <row r="513">
      <c r="A513" t="inlineStr">
        <is>
          <t>Maintenance capex</t>
        </is>
      </c>
      <c r="F513" s="24">
        <f>$B$96*F510</f>
        <v/>
      </c>
      <c r="G513" s="24">
        <f>$B$96*G510</f>
        <v/>
      </c>
      <c r="H513" s="24">
        <f>$B$96*H510</f>
        <v/>
      </c>
      <c r="I513" s="24">
        <f>$B$96*I510</f>
        <v/>
      </c>
      <c r="J513" s="24">
        <f>$B$96*J510</f>
        <v/>
      </c>
      <c r="K513" s="24">
        <f>$B$96*K510</f>
        <v/>
      </c>
    </row>
    <row r="514">
      <c r="A514" t="inlineStr">
        <is>
          <t>Software capex</t>
        </is>
      </c>
      <c r="F514" s="24">
        <f>$B$52*F510</f>
        <v/>
      </c>
      <c r="G514" s="24">
        <f>$B$52*G510</f>
        <v/>
      </c>
      <c r="H514" s="24">
        <f>$B$52*H510</f>
        <v/>
      </c>
      <c r="I514" s="24">
        <f>$B$52*I510</f>
        <v/>
      </c>
      <c r="J514" s="24">
        <f>$B$52*J510</f>
        <v/>
      </c>
      <c r="K514" s="24">
        <f>$B$52*K510</f>
        <v/>
      </c>
    </row>
    <row r="515">
      <c r="A515" t="inlineStr">
        <is>
          <t>Normalized acquisition cost</t>
        </is>
      </c>
      <c r="F515" s="18">
        <f>$B$53</f>
        <v/>
      </c>
      <c r="G515" s="18">
        <f>$B$53</f>
        <v/>
      </c>
      <c r="H515" s="18">
        <f>$B$53</f>
        <v/>
      </c>
      <c r="I515" s="18">
        <f>$B$53</f>
        <v/>
      </c>
      <c r="J515" s="18">
        <f>$B$53</f>
        <v/>
      </c>
      <c r="K515" s="18">
        <f>$B$53</f>
        <v/>
      </c>
    </row>
    <row r="516">
      <c r="A516" t="inlineStr">
        <is>
          <t>Pre-tax Owners' Earnings</t>
        </is>
      </c>
      <c r="F516" s="24">
        <f>F512-F513-F514-F515</f>
        <v/>
      </c>
      <c r="G516" s="24">
        <f>G512-G513-G514-G515</f>
        <v/>
      </c>
      <c r="H516" s="24">
        <f>H512-H513-H514-H515</f>
        <v/>
      </c>
      <c r="I516" s="24">
        <f>I512-I513-I514-I515</f>
        <v/>
      </c>
      <c r="J516" s="24">
        <f>J512-J513-J514-J515</f>
        <v/>
      </c>
      <c r="K516" s="24">
        <f>K512-K513-K514-K515</f>
        <v/>
      </c>
    </row>
    <row r="517">
      <c r="A517" s="20" t="inlineStr">
        <is>
          <t>Owners' Earnings</t>
        </is>
      </c>
      <c r="F517" s="25">
        <f>F516*(1-$B$54)</f>
        <v/>
      </c>
      <c r="G517" s="25">
        <f>G516*(1-$B$54)</f>
        <v/>
      </c>
      <c r="H517" s="25">
        <f>H516*(1-$B$54)</f>
        <v/>
      </c>
      <c r="I517" s="25">
        <f>I516*(1-$B$54)</f>
        <v/>
      </c>
      <c r="J517" s="25">
        <f>J516*(1-$B$54)</f>
        <v/>
      </c>
      <c r="K517" s="25">
        <f>K516*(1-$B$54)</f>
        <v/>
      </c>
    </row>
    <row r="518">
      <c r="A518" t="inlineStr">
        <is>
          <t>Maintenance + software capex rate</t>
        </is>
      </c>
      <c r="B518" s="27">
        <f>B96+$B$52</f>
        <v/>
      </c>
    </row>
    <row r="519">
      <c r="A519" t="inlineStr">
        <is>
          <t xml:space="preserve">  OE from existing business</t>
        </is>
      </c>
      <c r="F519" s="24">
        <f>(F449-F451-$B$518*F444-F515)*(1-$B$54)</f>
        <v/>
      </c>
      <c r="G519" s="24">
        <f>(G449-G451-$B$518*G444-G515)*(1-$B$54)</f>
        <v/>
      </c>
      <c r="H519" s="24">
        <f>(H449-H451-$B$518*H444-H515)*(1-$B$54)</f>
        <v/>
      </c>
      <c r="I519" s="24">
        <f>(I449-I451-$B$518*I444-I515)*(1-$B$54)</f>
        <v/>
      </c>
      <c r="J519" s="24">
        <f>(J449-J451-$B$518*J444-J515)*(1-$B$54)</f>
        <v/>
      </c>
      <c r="K519" s="24">
        <f>(K449-K451-$B$518*K444-K515)*(1-$B$54)</f>
        <v/>
      </c>
    </row>
    <row r="520">
      <c r="A520" t="inlineStr">
        <is>
          <t xml:space="preserve">  OE from new locations</t>
        </is>
      </c>
      <c r="F520" s="24">
        <f>(F505-$B$518*F506)*(1-$B$54)</f>
        <v/>
      </c>
      <c r="G520" s="24">
        <f>(G505-$B$518*G506)*(1-$B$54)</f>
        <v/>
      </c>
      <c r="H520" s="24">
        <f>(H505-$B$518*H506)*(1-$B$54)</f>
        <v/>
      </c>
      <c r="I520" s="24">
        <f>(I505-$B$518*I506)*(1-$B$54)</f>
        <v/>
      </c>
      <c r="J520" s="24">
        <f>(J505-$B$518*J506)*(1-$B$54)</f>
        <v/>
      </c>
      <c r="K520" s="24">
        <f>(K505-$B$518*K506)*(1-$B$54)</f>
        <v/>
      </c>
    </row>
    <row r="521">
      <c r="A521" t="inlineStr">
        <is>
          <t xml:space="preserve">  Memo: new-location OE if all cohorts were mature</t>
        </is>
      </c>
      <c r="F521" s="24">
        <f>(F507-$B$518*F508)*(1-$B$54)</f>
        <v/>
      </c>
      <c r="G521" s="24">
        <f>(G507-$B$518*G508)*(1-$B$54)</f>
        <v/>
      </c>
      <c r="H521" s="24">
        <f>(H507-$B$518*H508)*(1-$B$54)</f>
        <v/>
      </c>
      <c r="I521" s="24">
        <f>(I507-$B$518*I508)*(1-$B$54)</f>
        <v/>
      </c>
      <c r="J521" s="24">
        <f>(J507-$B$518*J508)*(1-$B$54)</f>
        <v/>
      </c>
      <c r="K521" s="24">
        <f>(K507-$B$518*K508)*(1-$B$54)</f>
        <v/>
      </c>
    </row>
    <row r="522">
      <c r="A522" t="inlineStr">
        <is>
          <t xml:space="preserve">  Memo: OE still ramping</t>
        </is>
      </c>
      <c r="F522" s="24">
        <f>F521-F520</f>
        <v/>
      </c>
      <c r="G522" s="24">
        <f>G521-G520</f>
        <v/>
      </c>
      <c r="H522" s="24">
        <f>H521-H520</f>
        <v/>
      </c>
      <c r="I522" s="24">
        <f>I521-I520</f>
        <v/>
      </c>
      <c r="J522" s="24">
        <f>J521-J520</f>
        <v/>
      </c>
      <c r="K522" s="24">
        <f>K521-K520</f>
        <v/>
      </c>
    </row>
    <row r="523">
      <c r="A523" t="inlineStr">
        <is>
          <t>One-off integration costs (after tax)</t>
        </is>
      </c>
      <c r="F523" s="24">
        <f>$F$59*(($B$55-$B$56)*(1-$B$54)+($B$57-$B$58))</f>
        <v/>
      </c>
      <c r="G523" s="24">
        <f>$G$59*(($B$55-$B$56)*(1-$B$54)+($B$57-$B$58))</f>
        <v/>
      </c>
      <c r="H523" s="24">
        <f>$H$59*(($B$55-$B$56)*(1-$B$54)+($B$57-$B$58))</f>
        <v/>
      </c>
      <c r="I523" s="24">
        <f>$I$59*(($B$55-$B$56)*(1-$B$54)+($B$57-$B$58))</f>
        <v/>
      </c>
      <c r="J523" s="24">
        <f>$J$59*(($B$55-$B$56)*(1-$B$54)+($B$57-$B$58))</f>
        <v/>
      </c>
      <c r="K523" s="24">
        <f>$K$59*(($B$55-$B$56)*(1-$B$54)+($B$57-$B$58))</f>
        <v/>
      </c>
    </row>
    <row r="524">
      <c r="A524" s="20" t="inlineStr">
        <is>
          <t>Distributable cash = OE - growth capex - one-offs</t>
        </is>
      </c>
      <c r="F524" s="25">
        <f>F517-F504-F523</f>
        <v/>
      </c>
      <c r="G524" s="25">
        <f>G517-G504-G523</f>
        <v/>
      </c>
      <c r="H524" s="25">
        <f>H517-H504-H523</f>
        <v/>
      </c>
      <c r="I524" s="25">
        <f>I517-I504-I523</f>
        <v/>
      </c>
      <c r="J524" s="25">
        <f>J517-J504-J523</f>
        <v/>
      </c>
      <c r="K524" s="25">
        <f>K517-K504-K523</f>
        <v/>
      </c>
    </row>
    <row r="525">
      <c r="A525" t="inlineStr">
        <is>
          <t>Cash after after-tax interest and dividends</t>
        </is>
      </c>
      <c r="F525" s="24">
        <f>F524-$B$61*(1-$B$54)-$B$62</f>
        <v/>
      </c>
      <c r="G525" s="24">
        <f>G524-$B$61*(1-$B$54)-$B$62</f>
        <v/>
      </c>
      <c r="H525" s="24">
        <f>H524-$B$61*(1-$B$54)-$B$62</f>
        <v/>
      </c>
      <c r="I525" s="24">
        <f>I524-$B$61*(1-$B$54)-$B$62</f>
        <v/>
      </c>
      <c r="J525" s="24">
        <f>J524-$B$61*(1-$B$54)-$B$62</f>
        <v/>
      </c>
      <c r="K525" s="24">
        <f>K524-$B$61*(1-$B$54)-$B$62</f>
        <v/>
      </c>
    </row>
    <row r="526">
      <c r="A526" t="inlineStr">
        <is>
          <t>Net debt ex-leases, period end</t>
        </is>
      </c>
      <c r="E526" s="18">
        <f>$B$60</f>
        <v/>
      </c>
      <c r="F526" s="24">
        <f>E526-F525*$B$63</f>
        <v/>
      </c>
      <c r="G526" s="24">
        <f>F526-G525</f>
        <v/>
      </c>
      <c r="H526" s="24">
        <f>G526-H525</f>
        <v/>
      </c>
      <c r="I526" s="24">
        <f>H526-I525</f>
        <v/>
      </c>
      <c r="J526" s="24">
        <f>I526-J525</f>
        <v/>
      </c>
      <c r="K526" s="24">
        <f>J526-K525</f>
        <v/>
      </c>
    </row>
    <row r="527">
      <c r="A527" t="inlineStr">
        <is>
          <t>Net debt / EBITDA after rent</t>
        </is>
      </c>
      <c r="F527" s="33">
        <f>F526/F512</f>
        <v/>
      </c>
      <c r="G527" s="33">
        <f>G526/G512</f>
        <v/>
      </c>
      <c r="H527" s="33">
        <f>H526/H512</f>
        <v/>
      </c>
      <c r="I527" s="33">
        <f>I526/I512</f>
        <v/>
      </c>
      <c r="J527" s="33">
        <f>J526/J512</f>
        <v/>
      </c>
      <c r="K527" s="33">
        <f>K526/K512</f>
        <v/>
      </c>
    </row>
    <row r="529">
      <c r="A529" s="7" t="inlineStr">
        <is>
          <t>4. Forecast workings - No growth (existing business only)</t>
        </is>
      </c>
      <c r="B529" s="8" t="inlineStr"/>
      <c r="C529" s="8" t="inlineStr"/>
      <c r="D529" s="8" t="inlineStr">
        <is>
          <t>FY2025</t>
        </is>
      </c>
      <c r="E529" s="8" t="inlineStr">
        <is>
          <t>Jun-2026</t>
        </is>
      </c>
      <c r="F529" s="8" t="inlineStr">
        <is>
          <t>2026E</t>
        </is>
      </c>
      <c r="G529" s="8" t="inlineStr">
        <is>
          <t>2027E</t>
        </is>
      </c>
      <c r="H529" s="8" t="inlineStr">
        <is>
          <t>2028E</t>
        </is>
      </c>
      <c r="I529" s="8" t="inlineStr">
        <is>
          <t>2029E</t>
        </is>
      </c>
      <c r="J529" s="8" t="inlineStr">
        <is>
          <t>2030E</t>
        </is>
      </c>
      <c r="K529" s="8" t="inlineStr">
        <is>
          <t>2031E</t>
        </is>
      </c>
      <c r="L529" s="7" t="inlineStr">
        <is>
          <t>Source / explanation</t>
        </is>
      </c>
    </row>
    <row r="530">
      <c r="A530" t="inlineStr">
        <is>
          <t>Fiscal year</t>
        </is>
      </c>
      <c r="D530" s="28">
        <f>2025</f>
        <v/>
      </c>
      <c r="F530" s="28">
        <f>D530+1</f>
        <v/>
      </c>
      <c r="G530" s="28">
        <f>F530+1</f>
        <v/>
      </c>
      <c r="H530" s="28">
        <f>G530+1</f>
        <v/>
      </c>
      <c r="I530" s="28">
        <f>H530+1</f>
        <v/>
      </c>
      <c r="J530" s="28">
        <f>I530+1</f>
        <v/>
      </c>
      <c r="K530" s="28">
        <f>J530+1</f>
        <v/>
      </c>
    </row>
    <row r="531">
      <c r="A531" t="inlineStr">
        <is>
          <t xml:space="preserve">  Claims volume (pp)</t>
        </is>
      </c>
      <c r="F531" s="23">
        <f>F100</f>
        <v/>
      </c>
      <c r="G531" s="23">
        <f>G100</f>
        <v/>
      </c>
      <c r="H531" s="23">
        <f>H100</f>
        <v/>
      </c>
      <c r="I531" s="23">
        <f>I100</f>
        <v/>
      </c>
      <c r="J531" s="23">
        <f>J100</f>
        <v/>
      </c>
      <c r="K531" s="23">
        <f>K100</f>
        <v/>
      </c>
    </row>
    <row r="532">
      <c r="A532" t="inlineStr">
        <is>
          <t xml:space="preserve">  Avg repair cost (pp)</t>
        </is>
      </c>
      <c r="F532" s="23">
        <f>F101</f>
        <v/>
      </c>
      <c r="G532" s="23">
        <f>G101</f>
        <v/>
      </c>
      <c r="H532" s="23">
        <f>H101</f>
        <v/>
      </c>
      <c r="I532" s="23">
        <f>I101</f>
        <v/>
      </c>
      <c r="J532" s="23">
        <f>J101</f>
        <v/>
      </c>
      <c r="K532" s="23">
        <f>K101</f>
        <v/>
      </c>
    </row>
    <row r="533">
      <c r="A533" t="inlineStr">
        <is>
          <t xml:space="preserve">  Share gain (pp)</t>
        </is>
      </c>
      <c r="F533" s="23">
        <f>F102</f>
        <v/>
      </c>
      <c r="G533" s="23">
        <f>G102</f>
        <v/>
      </c>
      <c r="H533" s="23">
        <f>H102</f>
        <v/>
      </c>
      <c r="I533" s="23">
        <f>I102</f>
        <v/>
      </c>
      <c r="J533" s="23">
        <f>J102</f>
        <v/>
      </c>
      <c r="K533" s="23">
        <f>K102</f>
        <v/>
      </c>
    </row>
    <row r="534">
      <c r="A534" t="inlineStr">
        <is>
          <t>Same-store sales growth</t>
        </is>
      </c>
      <c r="F534" s="26">
        <f>(F531+F532+F533)/100</f>
        <v/>
      </c>
      <c r="G534" s="26">
        <f>(G531+G532+G533)/100</f>
        <v/>
      </c>
      <c r="H534" s="26">
        <f>(H531+H532+H533)/100</f>
        <v/>
      </c>
      <c r="I534" s="26">
        <f>(I531+I532+I533)/100</f>
        <v/>
      </c>
      <c r="J534" s="26">
        <f>(J531+J532+J533)/100</f>
        <v/>
      </c>
      <c r="K534" s="26">
        <f>(K531+K532+K533)/100</f>
        <v/>
      </c>
      <c r="L534" s="10" t="inlineStr">
        <is>
          <t>Claims volume + average repair cost + share gain</t>
        </is>
      </c>
    </row>
    <row r="535">
      <c r="A535" t="inlineStr">
        <is>
          <t>Price / volume index vs FY2025 (cumulative SSS)</t>
        </is>
      </c>
      <c r="D535" s="29">
        <f>1</f>
        <v/>
      </c>
      <c r="F535" s="29">
        <f>D535*(1+F534)</f>
        <v/>
      </c>
      <c r="G535" s="29">
        <f>F535*(1+G534)</f>
        <v/>
      </c>
      <c r="H535" s="29">
        <f>G535*(1+H534)</f>
        <v/>
      </c>
      <c r="I535" s="29">
        <f>H535*(1+I534)</f>
        <v/>
      </c>
      <c r="J535" s="29">
        <f>I535*(1+J534)</f>
        <v/>
      </c>
      <c r="K535" s="29">
        <f>J535*(1+K534)</f>
        <v/>
      </c>
    </row>
    <row r="536">
      <c r="A536" t="inlineStr">
        <is>
          <t>Legacy Boyd sales (all locations open at Dec-2025)</t>
        </is>
      </c>
      <c r="D536" s="18">
        <f>$B$33</f>
        <v/>
      </c>
      <c r="F536" s="24">
        <f>D536*(1+F534)</f>
        <v/>
      </c>
      <c r="G536" s="24">
        <f>F536*(1+G534)</f>
        <v/>
      </c>
      <c r="H536" s="24">
        <f>G536*(1+H534)</f>
        <v/>
      </c>
      <c r="I536" s="24">
        <f>H536*(1+I534)</f>
        <v/>
      </c>
      <c r="J536" s="24">
        <f>I536*(1+J534)</f>
        <v/>
      </c>
      <c r="K536" s="24">
        <f>J536*(1+K534)</f>
        <v/>
      </c>
      <c r="L536" s="10" t="inlineStr">
        <is>
          <t>FY2025 pro-forma sales grown with SSS</t>
        </is>
      </c>
    </row>
    <row r="537">
      <c r="A537" t="inlineStr">
        <is>
          <t>Joe Hudson's sales</t>
        </is>
      </c>
      <c r="F537" s="18">
        <f>$B$40</f>
        <v/>
      </c>
      <c r="G537" s="24">
        <f>$B$38*(1+G534)</f>
        <v/>
      </c>
      <c r="H537" s="24">
        <f>G537*(1+H534)</f>
        <v/>
      </c>
      <c r="I537" s="24">
        <f>H537*(1+I534)</f>
        <v/>
      </c>
      <c r="J537" s="24">
        <f>I537*(1+J534)</f>
        <v/>
      </c>
      <c r="K537" s="24">
        <f>J537*(1+K534)</f>
        <v/>
      </c>
      <c r="L537" s="10" t="inlineStr">
        <is>
          <t>2026 disrupted; 2027 back to pre-deal run rate x (1+SSS)</t>
        </is>
      </c>
    </row>
    <row r="538">
      <c r="A538" s="20" t="inlineStr">
        <is>
          <t>Existing-business sales</t>
        </is>
      </c>
      <c r="F538" s="25">
        <f>F536+F537</f>
        <v/>
      </c>
      <c r="G538" s="25">
        <f>G536+G537</f>
        <v/>
      </c>
      <c r="H538" s="25">
        <f>H536+H537</f>
        <v/>
      </c>
      <c r="I538" s="25">
        <f>I536+I537</f>
        <v/>
      </c>
      <c r="J538" s="25">
        <f>J536+J537</f>
        <v/>
      </c>
      <c r="K538" s="25">
        <f>K536+K537</f>
        <v/>
      </c>
    </row>
    <row r="539">
      <c r="A539" t="inlineStr">
        <is>
          <t>Margin change from operating leverage</t>
        </is>
      </c>
      <c r="F539" s="27">
        <f>MIN(MAX($B$42*(F534-$B$43),$B$45),$B$44)</f>
        <v/>
      </c>
      <c r="G539" s="27">
        <f>MIN(MAX($B$42*(G534-$B$43),$B$45),$B$44)</f>
        <v/>
      </c>
      <c r="H539" s="27">
        <f>MIN(MAX($B$42*(H534-$B$43),$B$45),$B$44)</f>
        <v/>
      </c>
      <c r="I539" s="27">
        <f>MIN(MAX($B$42*(I534-$B$43),$B$45),$B$44)</f>
        <v/>
      </c>
      <c r="J539" s="27">
        <f>MIN(MAX($B$42*(J534-$B$43),$B$45),$B$44)</f>
        <v/>
      </c>
      <c r="K539" s="27">
        <f>MIN(MAX($B$42*(K534-$B$43),$B$45),$B$44)</f>
        <v/>
      </c>
      <c r="L539" s="10" t="inlineStr">
        <is>
          <t>sensitivity x (SSS - breakeven), capped and floored</t>
        </is>
      </c>
    </row>
    <row r="540">
      <c r="A540" t="inlineStr">
        <is>
          <t>Legacy Boyd margin, excluding cost-program savings</t>
        </is>
      </c>
      <c r="D540" s="27">
        <f>$D$12/$D$7-$B$105*$B$34/$D$7</f>
        <v/>
      </c>
      <c r="F540" s="27">
        <f>D540+F539</f>
        <v/>
      </c>
      <c r="G540" s="27">
        <f>F540+G539</f>
        <v/>
      </c>
      <c r="H540" s="27">
        <f>G540+H539</f>
        <v/>
      </c>
      <c r="I540" s="27">
        <f>H540+I539</f>
        <v/>
      </c>
      <c r="J540" s="27">
        <f>I540+J539</f>
        <v/>
      </c>
      <c r="K540" s="27">
        <f>J540+K539</f>
        <v/>
      </c>
      <c r="L540" s="10" t="inlineStr">
        <is>
          <t>FY2025: reported margin less the retained share of the $40M already in FY2025 EBITDA</t>
        </is>
      </c>
    </row>
    <row r="541">
      <c r="A541" t="inlineStr">
        <is>
          <t>Joe Hudson's margin, excluding cost-program savings</t>
        </is>
      </c>
      <c r="F541" s="22">
        <f>$B$41</f>
        <v/>
      </c>
      <c r="G541" s="27">
        <f>$B$39+G539</f>
        <v/>
      </c>
      <c r="H541" s="27">
        <f>G541+H539</f>
        <v/>
      </c>
      <c r="I541" s="27">
        <f>H541+I539</f>
        <v/>
      </c>
      <c r="J541" s="27">
        <f>I541+J539</f>
        <v/>
      </c>
      <c r="K541" s="27">
        <f>J541+K539</f>
        <v/>
      </c>
    </row>
    <row r="542">
      <c r="A542" t="inlineStr">
        <is>
          <t>Retained cost-program savings</t>
        </is>
      </c>
      <c r="F542" s="24">
        <f>$B$105*F35</f>
        <v/>
      </c>
      <c r="G542" s="24">
        <f>$B$105*G35</f>
        <v/>
      </c>
      <c r="H542" s="24">
        <f>$B$105*H35</f>
        <v/>
      </c>
      <c r="I542" s="24">
        <f>$B$105*I35</f>
        <v/>
      </c>
      <c r="J542" s="24">
        <f>$B$105*J35</f>
        <v/>
      </c>
      <c r="K542" s="24">
        <f>$B$105*K35</f>
        <v/>
      </c>
    </row>
    <row r="543">
      <c r="A543" s="20" t="inlineStr">
        <is>
          <t>Existing-business Adjusted EBITDA</t>
        </is>
      </c>
      <c r="F543" s="25">
        <f>F540*F536+F541*F537+F542</f>
        <v/>
      </c>
      <c r="G543" s="25">
        <f>G540*G536+G541*G537+G542</f>
        <v/>
      </c>
      <c r="H543" s="25">
        <f>H540*H536+H541*H537+H542</f>
        <v/>
      </c>
      <c r="I543" s="25">
        <f>I540*I536+I541*I537+I542</f>
        <v/>
      </c>
      <c r="J543" s="25">
        <f>J540*J536+J541*J537+J542</f>
        <v/>
      </c>
      <c r="K543" s="25">
        <f>K540*K536+K541*K537+K542</f>
        <v/>
      </c>
    </row>
    <row r="544">
      <c r="A544" t="inlineStr">
        <is>
          <t xml:space="preserve">  margin</t>
        </is>
      </c>
      <c r="F544" s="26">
        <f>F543/F538</f>
        <v/>
      </c>
      <c r="G544" s="26">
        <f>G543/G538</f>
        <v/>
      </c>
      <c r="H544" s="26">
        <f>H543/H538</f>
        <v/>
      </c>
      <c r="I544" s="26">
        <f>I543/I538</f>
        <v/>
      </c>
      <c r="J544" s="26">
        <f>J543/J538</f>
        <v/>
      </c>
      <c r="K544" s="26">
        <f>K543/K538</f>
        <v/>
      </c>
    </row>
    <row r="545">
      <c r="A545" t="inlineStr">
        <is>
          <t>Existing-business cash rent</t>
        </is>
      </c>
      <c r="F545" s="24">
        <f>2*($F$13+$F$14+$F$15+$F$16)</f>
        <v/>
      </c>
      <c r="G545" s="24">
        <f>F545*(1+$B$107)</f>
        <v/>
      </c>
      <c r="H545" s="24">
        <f>G545*(1+$B$107)</f>
        <v/>
      </c>
      <c r="I545" s="24">
        <f>H545*(1+$B$107)</f>
        <v/>
      </c>
      <c r="J545" s="24">
        <f>I545*(1+$B$107)</f>
        <v/>
      </c>
      <c r="K545" s="24">
        <f>J545*(1+$B$107)</f>
        <v/>
      </c>
      <c r="L545" s="10" t="inlineStr">
        <is>
          <t>2026 = H1-2026 actual x2; then x (1 + escalator)</t>
        </is>
      </c>
    </row>
    <row r="546">
      <c r="A546" t="inlineStr">
        <is>
          <t xml:space="preserve">  rent % of existing sales</t>
        </is>
      </c>
      <c r="F546" s="27">
        <f>F545/F538</f>
        <v/>
      </c>
      <c r="G546" s="27">
        <f>G545/G538</f>
        <v/>
      </c>
      <c r="H546" s="27">
        <f>H545/H538</f>
        <v/>
      </c>
      <c r="I546" s="27">
        <f>I545/I538</f>
        <v/>
      </c>
      <c r="J546" s="27">
        <f>J545/J538</f>
        <v/>
      </c>
      <c r="K546" s="27">
        <f>K545/K538</f>
        <v/>
      </c>
    </row>
    <row r="547">
      <c r="A547" s="2" t="inlineStr">
        <is>
          <t>New-location cohorts: each column below is the cohort OPENED in that year.</t>
        </is>
      </c>
    </row>
    <row r="548">
      <c r="A548" t="inlineStr">
        <is>
          <t xml:space="preserve">  Tuck-ins opened</t>
        </is>
      </c>
      <c r="F548" s="30">
        <f>F103</f>
        <v/>
      </c>
      <c r="G548" s="30">
        <f>G103</f>
        <v/>
      </c>
      <c r="H548" s="30">
        <f>H103</f>
        <v/>
      </c>
      <c r="I548" s="30">
        <f>I103</f>
        <v/>
      </c>
      <c r="J548" s="30">
        <f>J103</f>
        <v/>
      </c>
      <c r="K548" s="30">
        <f>K103</f>
        <v/>
      </c>
    </row>
    <row r="549">
      <c r="A549" t="inlineStr">
        <is>
          <t xml:space="preserve">  Start-ups opened</t>
        </is>
      </c>
      <c r="F549" s="30">
        <f>F104</f>
        <v/>
      </c>
      <c r="G549" s="30">
        <f>G104</f>
        <v/>
      </c>
      <c r="H549" s="30">
        <f>H104</f>
        <v/>
      </c>
      <c r="I549" s="30">
        <f>I104</f>
        <v/>
      </c>
      <c r="J549" s="30">
        <f>J104</f>
        <v/>
      </c>
      <c r="K549" s="30">
        <f>K104</f>
        <v/>
      </c>
    </row>
    <row r="550">
      <c r="A550" t="inlineStr">
        <is>
          <t xml:space="preserve">  Cost inflation index</t>
        </is>
      </c>
      <c r="F550" s="29">
        <f>(1+$B$51)^(F530-$F$530)</f>
        <v/>
      </c>
      <c r="G550" s="29">
        <f>(1+$B$51)^(G530-$F$530)</f>
        <v/>
      </c>
      <c r="H550" s="29">
        <f>(1+$B$51)^(H530-$F$530)</f>
        <v/>
      </c>
      <c r="I550" s="29">
        <f>(1+$B$51)^(I530-$F$530)</f>
        <v/>
      </c>
      <c r="J550" s="29">
        <f>(1+$B$51)^(J530-$F$530)</f>
        <v/>
      </c>
      <c r="K550" s="29">
        <f>(1+$B$51)^(K530-$F$530)</f>
        <v/>
      </c>
    </row>
    <row r="551">
      <c r="A551" t="inlineStr">
        <is>
          <t xml:space="preserve">  Cohort cost = growth capex</t>
        </is>
      </c>
      <c r="F551" s="24">
        <f>(F548*$B$46+F549*$B$48)*F550</f>
        <v/>
      </c>
      <c r="G551" s="24">
        <f>(G548*$B$46+G549*$B$48)*G550</f>
        <v/>
      </c>
      <c r="H551" s="24">
        <f>(H548*$B$46+H549*$B$48)*H550</f>
        <v/>
      </c>
      <c r="I551" s="24">
        <f>(I548*$B$46+I549*$B$48)*I550</f>
        <v/>
      </c>
      <c r="J551" s="24">
        <f>(J548*$B$46+J549*$B$48)*J550</f>
        <v/>
      </c>
      <c r="K551" s="24">
        <f>(K548*$B$46+K549*$B$48)*K550</f>
        <v/>
      </c>
    </row>
    <row r="552">
      <c r="A552" t="inlineStr">
        <is>
          <t xml:space="preserve">  Cohort mature sales, 2025 prices</t>
        </is>
      </c>
      <c r="F552" s="24">
        <f>F548*$B$47+F549*$B$49</f>
        <v/>
      </c>
      <c r="G552" s="24">
        <f>G548*$B$47+G549*$B$49</f>
        <v/>
      </c>
      <c r="H552" s="24">
        <f>H548*$B$47+H549*$B$49</f>
        <v/>
      </c>
      <c r="I552" s="24">
        <f>I548*$B$47+I549*$B$49</f>
        <v/>
      </c>
      <c r="J552" s="24">
        <f>J548*$B$47+J549*$B$49</f>
        <v/>
      </c>
      <c r="K552" s="24">
        <f>K548*$B$47+K549*$B$49</f>
        <v/>
      </c>
    </row>
    <row r="553">
      <c r="A553" t="inlineStr">
        <is>
          <t xml:space="preserve">  Year cohort reaches maturity</t>
        </is>
      </c>
      <c r="F553" s="28">
        <f>F530+COUNT($B$50:$E$50)-1</f>
        <v/>
      </c>
      <c r="G553" s="28">
        <f>G530+COUNT($B$50:$E$50)-1</f>
        <v/>
      </c>
      <c r="H553" s="28">
        <f>H530+COUNT($B$50:$E$50)-1</f>
        <v/>
      </c>
      <c r="I553" s="28">
        <f>I530+COUNT($B$50:$E$50)-1</f>
        <v/>
      </c>
      <c r="J553" s="28">
        <f>J530+COUNT($B$50:$E$50)-1</f>
        <v/>
      </c>
      <c r="K553" s="28">
        <f>K530+COUNT($B$50:$E$50)-1</f>
        <v/>
      </c>
    </row>
    <row r="554">
      <c r="A554" s="2" t="inlineStr">
        <is>
          <t xml:space="preserve">  Ramp share: rows = cohort opened in year shown in column B; columns = calendar year.</t>
        </is>
      </c>
    </row>
    <row r="555">
      <c r="A555" t="inlineStr">
        <is>
          <t xml:space="preserve">    cohort</t>
        </is>
      </c>
      <c r="B555" s="31">
        <f>F530</f>
        <v/>
      </c>
      <c r="F555" s="29">
        <f>IF((F530-B555)&lt;0,0,INDEX($B$50:$E$50,MIN((F530-B555),COUNT($B$50:$E$50)-1)+1))</f>
        <v/>
      </c>
      <c r="G555" s="29">
        <f>IF((G530-B555)&lt;0,0,INDEX($B$50:$E$50,MIN((G530-B555),COUNT($B$50:$E$50)-1)+1))</f>
        <v/>
      </c>
      <c r="H555" s="29">
        <f>IF((H530-B555)&lt;0,0,INDEX($B$50:$E$50,MIN((H530-B555),COUNT($B$50:$E$50)-1)+1))</f>
        <v/>
      </c>
      <c r="I555" s="29">
        <f>IF((I530-B555)&lt;0,0,INDEX($B$50:$E$50,MIN((I530-B555),COUNT($B$50:$E$50)-1)+1))</f>
        <v/>
      </c>
      <c r="J555" s="29">
        <f>IF((J530-B555)&lt;0,0,INDEX($B$50:$E$50,MIN((J530-B555),COUNT($B$50:$E$50)-1)+1))</f>
        <v/>
      </c>
      <c r="K555" s="29">
        <f>IF((K530-B555)&lt;0,0,INDEX($B$50:$E$50,MIN((K530-B555),COUNT($B$50:$E$50)-1)+1))</f>
        <v/>
      </c>
    </row>
    <row r="556">
      <c r="A556" t="inlineStr">
        <is>
          <t xml:space="preserve">    cohort</t>
        </is>
      </c>
      <c r="B556" s="31">
        <f>G530</f>
        <v/>
      </c>
      <c r="F556" s="29">
        <f>IF((F530-B556)&lt;0,0,INDEX($B$50:$E$50,MIN((F530-B556),COUNT($B$50:$E$50)-1)+1))</f>
        <v/>
      </c>
      <c r="G556" s="29">
        <f>IF((G530-B556)&lt;0,0,INDEX($B$50:$E$50,MIN((G530-B556),COUNT($B$50:$E$50)-1)+1))</f>
        <v/>
      </c>
      <c r="H556" s="29">
        <f>IF((H530-B556)&lt;0,0,INDEX($B$50:$E$50,MIN((H530-B556),COUNT($B$50:$E$50)-1)+1))</f>
        <v/>
      </c>
      <c r="I556" s="29">
        <f>IF((I530-B556)&lt;0,0,INDEX($B$50:$E$50,MIN((I530-B556),COUNT($B$50:$E$50)-1)+1))</f>
        <v/>
      </c>
      <c r="J556" s="29">
        <f>IF((J530-B556)&lt;0,0,INDEX($B$50:$E$50,MIN((J530-B556),COUNT($B$50:$E$50)-1)+1))</f>
        <v/>
      </c>
      <c r="K556" s="29">
        <f>IF((K530-B556)&lt;0,0,INDEX($B$50:$E$50,MIN((K530-B556),COUNT($B$50:$E$50)-1)+1))</f>
        <v/>
      </c>
    </row>
    <row r="557">
      <c r="A557" t="inlineStr">
        <is>
          <t xml:space="preserve">    cohort</t>
        </is>
      </c>
      <c r="B557" s="31">
        <f>H530</f>
        <v/>
      </c>
      <c r="F557" s="29">
        <f>IF((F530-B557)&lt;0,0,INDEX($B$50:$E$50,MIN((F530-B557),COUNT($B$50:$E$50)-1)+1))</f>
        <v/>
      </c>
      <c r="G557" s="29">
        <f>IF((G530-B557)&lt;0,0,INDEX($B$50:$E$50,MIN((G530-B557),COUNT($B$50:$E$50)-1)+1))</f>
        <v/>
      </c>
      <c r="H557" s="29">
        <f>IF((H530-B557)&lt;0,0,INDEX($B$50:$E$50,MIN((H530-B557),COUNT($B$50:$E$50)-1)+1))</f>
        <v/>
      </c>
      <c r="I557" s="29">
        <f>IF((I530-B557)&lt;0,0,INDEX($B$50:$E$50,MIN((I530-B557),COUNT($B$50:$E$50)-1)+1))</f>
        <v/>
      </c>
      <c r="J557" s="29">
        <f>IF((J530-B557)&lt;0,0,INDEX($B$50:$E$50,MIN((J530-B557),COUNT($B$50:$E$50)-1)+1))</f>
        <v/>
      </c>
      <c r="K557" s="29">
        <f>IF((K530-B557)&lt;0,0,INDEX($B$50:$E$50,MIN((K530-B557),COUNT($B$50:$E$50)-1)+1))</f>
        <v/>
      </c>
    </row>
    <row r="558">
      <c r="A558" t="inlineStr">
        <is>
          <t xml:space="preserve">    cohort</t>
        </is>
      </c>
      <c r="B558" s="31">
        <f>I530</f>
        <v/>
      </c>
      <c r="F558" s="29">
        <f>IF((F530-B558)&lt;0,0,INDEX($B$50:$E$50,MIN((F530-B558),COUNT($B$50:$E$50)-1)+1))</f>
        <v/>
      </c>
      <c r="G558" s="29">
        <f>IF((G530-B558)&lt;0,0,INDEX($B$50:$E$50,MIN((G530-B558),COUNT($B$50:$E$50)-1)+1))</f>
        <v/>
      </c>
      <c r="H558" s="29">
        <f>IF((H530-B558)&lt;0,0,INDEX($B$50:$E$50,MIN((H530-B558),COUNT($B$50:$E$50)-1)+1))</f>
        <v/>
      </c>
      <c r="I558" s="29">
        <f>IF((I530-B558)&lt;0,0,INDEX($B$50:$E$50,MIN((I530-B558),COUNT($B$50:$E$50)-1)+1))</f>
        <v/>
      </c>
      <c r="J558" s="29">
        <f>IF((J530-B558)&lt;0,0,INDEX($B$50:$E$50,MIN((J530-B558),COUNT($B$50:$E$50)-1)+1))</f>
        <v/>
      </c>
      <c r="K558" s="29">
        <f>IF((K530-B558)&lt;0,0,INDEX($B$50:$E$50,MIN((K530-B558),COUNT($B$50:$E$50)-1)+1))</f>
        <v/>
      </c>
    </row>
    <row r="559">
      <c r="A559" t="inlineStr">
        <is>
          <t xml:space="preserve">    cohort</t>
        </is>
      </c>
      <c r="B559" s="31">
        <f>J530</f>
        <v/>
      </c>
      <c r="F559" s="29">
        <f>IF((F530-B559)&lt;0,0,INDEX($B$50:$E$50,MIN((F530-B559),COUNT($B$50:$E$50)-1)+1))</f>
        <v/>
      </c>
      <c r="G559" s="29">
        <f>IF((G530-B559)&lt;0,0,INDEX($B$50:$E$50,MIN((G530-B559),COUNT($B$50:$E$50)-1)+1))</f>
        <v/>
      </c>
      <c r="H559" s="29">
        <f>IF((H530-B559)&lt;0,0,INDEX($B$50:$E$50,MIN((H530-B559),COUNT($B$50:$E$50)-1)+1))</f>
        <v/>
      </c>
      <c r="I559" s="29">
        <f>IF((I530-B559)&lt;0,0,INDEX($B$50:$E$50,MIN((I530-B559),COUNT($B$50:$E$50)-1)+1))</f>
        <v/>
      </c>
      <c r="J559" s="29">
        <f>IF((J530-B559)&lt;0,0,INDEX($B$50:$E$50,MIN((J530-B559),COUNT($B$50:$E$50)-1)+1))</f>
        <v/>
      </c>
      <c r="K559" s="29">
        <f>IF((K530-B559)&lt;0,0,INDEX($B$50:$E$50,MIN((K530-B559),COUNT($B$50:$E$50)-1)+1))</f>
        <v/>
      </c>
    </row>
    <row r="560">
      <c r="A560" t="inlineStr">
        <is>
          <t xml:space="preserve">    cohort</t>
        </is>
      </c>
      <c r="B560" s="31">
        <f>K530</f>
        <v/>
      </c>
      <c r="F560" s="29">
        <f>IF((F530-B560)&lt;0,0,INDEX($B$50:$E$50,MIN((F530-B560),COUNT($B$50:$E$50)-1)+1))</f>
        <v/>
      </c>
      <c r="G560" s="29">
        <f>IF((G530-B560)&lt;0,0,INDEX($B$50:$E$50,MIN((G530-B560),COUNT($B$50:$E$50)-1)+1))</f>
        <v/>
      </c>
      <c r="H560" s="29">
        <f>IF((H530-B560)&lt;0,0,INDEX($B$50:$E$50,MIN((H530-B560),COUNT($B$50:$E$50)-1)+1))</f>
        <v/>
      </c>
      <c r="I560" s="29">
        <f>IF((I530-B560)&lt;0,0,INDEX($B$50:$E$50,MIN((I530-B560),COUNT($B$50:$E$50)-1)+1))</f>
        <v/>
      </c>
      <c r="J560" s="29">
        <f>IF((J530-B560)&lt;0,0,INDEX($B$50:$E$50,MIN((J530-B560),COUNT($B$50:$E$50)-1)+1))</f>
        <v/>
      </c>
      <c r="K560" s="29">
        <f>IF((K530-B560)&lt;0,0,INDEX($B$50:$E$50,MIN((K530-B560),COUNT($B$50:$E$50)-1)+1))</f>
        <v/>
      </c>
    </row>
    <row r="561">
      <c r="A561" s="2" t="inlineStr">
        <is>
          <t xml:space="preserve">  Growth since maturity (joins same-store base): rows = cohort opened in year shown in column B; columns = calendar year.</t>
        </is>
      </c>
    </row>
    <row r="562">
      <c r="A562" t="inlineStr">
        <is>
          <t xml:space="preserve">    cohort</t>
        </is>
      </c>
      <c r="B562" s="31">
        <f>F530</f>
        <v/>
      </c>
      <c r="F562" s="29">
        <f>IF(F530&gt;$F$553,F535/INDEX($F$535:$K$535,MIN($F$553-$F$530+1,6)),1)</f>
        <v/>
      </c>
      <c r="G562" s="29">
        <f>IF(G530&gt;$F$553,G535/INDEX($F$535:$K$535,MIN($F$553-$F$530+1,6)),1)</f>
        <v/>
      </c>
      <c r="H562" s="29">
        <f>IF(H530&gt;$F$553,H535/INDEX($F$535:$K$535,MIN($F$553-$F$530+1,6)),1)</f>
        <v/>
      </c>
      <c r="I562" s="29">
        <f>IF(I530&gt;$F$553,I535/INDEX($F$535:$K$535,MIN($F$553-$F$530+1,6)),1)</f>
        <v/>
      </c>
      <c r="J562" s="29">
        <f>IF(J530&gt;$F$553,J535/INDEX($F$535:$K$535,MIN($F$553-$F$530+1,6)),1)</f>
        <v/>
      </c>
      <c r="K562" s="29">
        <f>IF(K530&gt;$F$553,K535/INDEX($F$535:$K$535,MIN($F$553-$F$530+1,6)),1)</f>
        <v/>
      </c>
    </row>
    <row r="563">
      <c r="A563" t="inlineStr">
        <is>
          <t xml:space="preserve">    cohort</t>
        </is>
      </c>
      <c r="B563" s="31">
        <f>G530</f>
        <v/>
      </c>
      <c r="F563" s="29">
        <f>IF(F530&gt;$G$553,F535/INDEX($F$535:$K$535,MIN($G$553-$F$530+1,6)),1)</f>
        <v/>
      </c>
      <c r="G563" s="29">
        <f>IF(G530&gt;$G$553,G535/INDEX($F$535:$K$535,MIN($G$553-$F$530+1,6)),1)</f>
        <v/>
      </c>
      <c r="H563" s="29">
        <f>IF(H530&gt;$G$553,H535/INDEX($F$535:$K$535,MIN($G$553-$F$530+1,6)),1)</f>
        <v/>
      </c>
      <c r="I563" s="29">
        <f>IF(I530&gt;$G$553,I535/INDEX($F$535:$K$535,MIN($G$553-$F$530+1,6)),1)</f>
        <v/>
      </c>
      <c r="J563" s="29">
        <f>IF(J530&gt;$G$553,J535/INDEX($F$535:$K$535,MIN($G$553-$F$530+1,6)),1)</f>
        <v/>
      </c>
      <c r="K563" s="29">
        <f>IF(K530&gt;$G$553,K535/INDEX($F$535:$K$535,MIN($G$553-$F$530+1,6)),1)</f>
        <v/>
      </c>
    </row>
    <row r="564">
      <c r="A564" t="inlineStr">
        <is>
          <t xml:space="preserve">    cohort</t>
        </is>
      </c>
      <c r="B564" s="31">
        <f>H530</f>
        <v/>
      </c>
      <c r="F564" s="29">
        <f>IF(F530&gt;$H$553,F535/INDEX($F$535:$K$535,MIN($H$553-$F$530+1,6)),1)</f>
        <v/>
      </c>
      <c r="G564" s="29">
        <f>IF(G530&gt;$H$553,G535/INDEX($F$535:$K$535,MIN($H$553-$F$530+1,6)),1)</f>
        <v/>
      </c>
      <c r="H564" s="29">
        <f>IF(H530&gt;$H$553,H535/INDEX($F$535:$K$535,MIN($H$553-$F$530+1,6)),1)</f>
        <v/>
      </c>
      <c r="I564" s="29">
        <f>IF(I530&gt;$H$553,I535/INDEX($F$535:$K$535,MIN($H$553-$F$530+1,6)),1)</f>
        <v/>
      </c>
      <c r="J564" s="29">
        <f>IF(J530&gt;$H$553,J535/INDEX($F$535:$K$535,MIN($H$553-$F$530+1,6)),1)</f>
        <v/>
      </c>
      <c r="K564" s="29">
        <f>IF(K530&gt;$H$553,K535/INDEX($F$535:$K$535,MIN($H$553-$F$530+1,6)),1)</f>
        <v/>
      </c>
    </row>
    <row r="565">
      <c r="A565" t="inlineStr">
        <is>
          <t xml:space="preserve">    cohort</t>
        </is>
      </c>
      <c r="B565" s="31">
        <f>I530</f>
        <v/>
      </c>
      <c r="F565" s="29">
        <f>IF(F530&gt;$I$553,F535/INDEX($F$535:$K$535,MIN($I$553-$F$530+1,6)),1)</f>
        <v/>
      </c>
      <c r="G565" s="29">
        <f>IF(G530&gt;$I$553,G535/INDEX($F$535:$K$535,MIN($I$553-$F$530+1,6)),1)</f>
        <v/>
      </c>
      <c r="H565" s="29">
        <f>IF(H530&gt;$I$553,H535/INDEX($F$535:$K$535,MIN($I$553-$F$530+1,6)),1)</f>
        <v/>
      </c>
      <c r="I565" s="29">
        <f>IF(I530&gt;$I$553,I535/INDEX($F$535:$K$535,MIN($I$553-$F$530+1,6)),1)</f>
        <v/>
      </c>
      <c r="J565" s="29">
        <f>IF(J530&gt;$I$553,J535/INDEX($F$535:$K$535,MIN($I$553-$F$530+1,6)),1)</f>
        <v/>
      </c>
      <c r="K565" s="29">
        <f>IF(K530&gt;$I$553,K535/INDEX($F$535:$K$535,MIN($I$553-$F$530+1,6)),1)</f>
        <v/>
      </c>
    </row>
    <row r="566">
      <c r="A566" t="inlineStr">
        <is>
          <t xml:space="preserve">    cohort</t>
        </is>
      </c>
      <c r="B566" s="31">
        <f>J530</f>
        <v/>
      </c>
      <c r="F566" s="29">
        <f>IF(F530&gt;$J$553,F535/INDEX($F$535:$K$535,MIN($J$553-$F$530+1,6)),1)</f>
        <v/>
      </c>
      <c r="G566" s="29">
        <f>IF(G530&gt;$J$553,G535/INDEX($F$535:$K$535,MIN($J$553-$F$530+1,6)),1)</f>
        <v/>
      </c>
      <c r="H566" s="29">
        <f>IF(H530&gt;$J$553,H535/INDEX($F$535:$K$535,MIN($J$553-$F$530+1,6)),1)</f>
        <v/>
      </c>
      <c r="I566" s="29">
        <f>IF(I530&gt;$J$553,I535/INDEX($F$535:$K$535,MIN($J$553-$F$530+1,6)),1)</f>
        <v/>
      </c>
      <c r="J566" s="29">
        <f>IF(J530&gt;$J$553,J535/INDEX($F$535:$K$535,MIN($J$553-$F$530+1,6)),1)</f>
        <v/>
      </c>
      <c r="K566" s="29">
        <f>IF(K530&gt;$J$553,K535/INDEX($F$535:$K$535,MIN($J$553-$F$530+1,6)),1)</f>
        <v/>
      </c>
    </row>
    <row r="567">
      <c r="A567" t="inlineStr">
        <is>
          <t xml:space="preserve">    cohort</t>
        </is>
      </c>
      <c r="B567" s="31">
        <f>K530</f>
        <v/>
      </c>
      <c r="F567" s="29">
        <f>IF(F530&gt;$K$553,F535/INDEX($F$535:$K$535,MIN($K$553-$F$530+1,6)),1)</f>
        <v/>
      </c>
      <c r="G567" s="29">
        <f>IF(G530&gt;$K$553,G535/INDEX($F$535:$K$535,MIN($K$553-$F$530+1,6)),1)</f>
        <v/>
      </c>
      <c r="H567" s="29">
        <f>IF(H530&gt;$K$553,H535/INDEX($F$535:$K$535,MIN($K$553-$F$530+1,6)),1)</f>
        <v/>
      </c>
      <c r="I567" s="29">
        <f>IF(I530&gt;$K$553,I535/INDEX($F$535:$K$535,MIN($K$553-$F$530+1,6)),1)</f>
        <v/>
      </c>
      <c r="J567" s="29">
        <f>IF(J530&gt;$K$553,J535/INDEX($F$535:$K$535,MIN($K$553-$F$530+1,6)),1)</f>
        <v/>
      </c>
      <c r="K567" s="29">
        <f>IF(K530&gt;$K$553,K535/INDEX($F$535:$K$535,MIN($K$553-$F$530+1,6)),1)</f>
        <v/>
      </c>
    </row>
    <row r="568">
      <c r="A568" s="2" t="inlineStr">
        <is>
          <t xml:space="preserve">  Run-rate EBITDA after rent (as if fully ramped): rows = cohort opened in year shown in column B; columns = calendar year.</t>
        </is>
      </c>
    </row>
    <row r="569">
      <c r="A569" t="inlineStr">
        <is>
          <t xml:space="preserve">    cohort</t>
        </is>
      </c>
      <c r="B569" s="31">
        <f>F530</f>
        <v/>
      </c>
      <c r="F569" s="24">
        <f>IF(F530&gt;=B569,$B$108*$F$551*F562,0)</f>
        <v/>
      </c>
      <c r="G569" s="24">
        <f>IF(G530&gt;=B569,$B$108*$F$551*G562,0)</f>
        <v/>
      </c>
      <c r="H569" s="24">
        <f>IF(H530&gt;=B569,$B$108*$F$551*H562,0)</f>
        <v/>
      </c>
      <c r="I569" s="24">
        <f>IF(I530&gt;=B569,$B$108*$F$551*I562,0)</f>
        <v/>
      </c>
      <c r="J569" s="24">
        <f>IF(J530&gt;=B569,$B$108*$F$551*J562,0)</f>
        <v/>
      </c>
      <c r="K569" s="24">
        <f>IF(K530&gt;=B569,$B$108*$F$551*K562,0)</f>
        <v/>
      </c>
    </row>
    <row r="570">
      <c r="A570" t="inlineStr">
        <is>
          <t xml:space="preserve">    cohort</t>
        </is>
      </c>
      <c r="B570" s="31">
        <f>G530</f>
        <v/>
      </c>
      <c r="F570" s="24">
        <f>IF(F530&gt;=B570,$B$108*$G$551*F563,0)</f>
        <v/>
      </c>
      <c r="G570" s="24">
        <f>IF(G530&gt;=B570,$B$108*$G$551*G563,0)</f>
        <v/>
      </c>
      <c r="H570" s="24">
        <f>IF(H530&gt;=B570,$B$108*$G$551*H563,0)</f>
        <v/>
      </c>
      <c r="I570" s="24">
        <f>IF(I530&gt;=B570,$B$108*$G$551*I563,0)</f>
        <v/>
      </c>
      <c r="J570" s="24">
        <f>IF(J530&gt;=B570,$B$108*$G$551*J563,0)</f>
        <v/>
      </c>
      <c r="K570" s="24">
        <f>IF(K530&gt;=B570,$B$108*$G$551*K563,0)</f>
        <v/>
      </c>
    </row>
    <row r="571">
      <c r="A571" t="inlineStr">
        <is>
          <t xml:space="preserve">    cohort</t>
        </is>
      </c>
      <c r="B571" s="31">
        <f>H530</f>
        <v/>
      </c>
      <c r="F571" s="24">
        <f>IF(F530&gt;=B571,$B$108*$H$551*F564,0)</f>
        <v/>
      </c>
      <c r="G571" s="24">
        <f>IF(G530&gt;=B571,$B$108*$H$551*G564,0)</f>
        <v/>
      </c>
      <c r="H571" s="24">
        <f>IF(H530&gt;=B571,$B$108*$H$551*H564,0)</f>
        <v/>
      </c>
      <c r="I571" s="24">
        <f>IF(I530&gt;=B571,$B$108*$H$551*I564,0)</f>
        <v/>
      </c>
      <c r="J571" s="24">
        <f>IF(J530&gt;=B571,$B$108*$H$551*J564,0)</f>
        <v/>
      </c>
      <c r="K571" s="24">
        <f>IF(K530&gt;=B571,$B$108*$H$551*K564,0)</f>
        <v/>
      </c>
    </row>
    <row r="572">
      <c r="A572" t="inlineStr">
        <is>
          <t xml:space="preserve">    cohort</t>
        </is>
      </c>
      <c r="B572" s="31">
        <f>I530</f>
        <v/>
      </c>
      <c r="F572" s="24">
        <f>IF(F530&gt;=B572,$B$108*$I$551*F565,0)</f>
        <v/>
      </c>
      <c r="G572" s="24">
        <f>IF(G530&gt;=B572,$B$108*$I$551*G565,0)</f>
        <v/>
      </c>
      <c r="H572" s="24">
        <f>IF(H530&gt;=B572,$B$108*$I$551*H565,0)</f>
        <v/>
      </c>
      <c r="I572" s="24">
        <f>IF(I530&gt;=B572,$B$108*$I$551*I565,0)</f>
        <v/>
      </c>
      <c r="J572" s="24">
        <f>IF(J530&gt;=B572,$B$108*$I$551*J565,0)</f>
        <v/>
      </c>
      <c r="K572" s="24">
        <f>IF(K530&gt;=B572,$B$108*$I$551*K565,0)</f>
        <v/>
      </c>
    </row>
    <row r="573">
      <c r="A573" t="inlineStr">
        <is>
          <t xml:space="preserve">    cohort</t>
        </is>
      </c>
      <c r="B573" s="31">
        <f>J530</f>
        <v/>
      </c>
      <c r="F573" s="24">
        <f>IF(F530&gt;=B573,$B$108*$J$551*F566,0)</f>
        <v/>
      </c>
      <c r="G573" s="24">
        <f>IF(G530&gt;=B573,$B$108*$J$551*G566,0)</f>
        <v/>
      </c>
      <c r="H573" s="24">
        <f>IF(H530&gt;=B573,$B$108*$J$551*H566,0)</f>
        <v/>
      </c>
      <c r="I573" s="24">
        <f>IF(I530&gt;=B573,$B$108*$J$551*I566,0)</f>
        <v/>
      </c>
      <c r="J573" s="24">
        <f>IF(J530&gt;=B573,$B$108*$J$551*J566,0)</f>
        <v/>
      </c>
      <c r="K573" s="24">
        <f>IF(K530&gt;=B573,$B$108*$J$551*K566,0)</f>
        <v/>
      </c>
    </row>
    <row r="574">
      <c r="A574" t="inlineStr">
        <is>
          <t xml:space="preserve">    cohort</t>
        </is>
      </c>
      <c r="B574" s="31">
        <f>K530</f>
        <v/>
      </c>
      <c r="F574" s="24">
        <f>IF(F530&gt;=B574,$B$108*$K$551*F567,0)</f>
        <v/>
      </c>
      <c r="G574" s="24">
        <f>IF(G530&gt;=B574,$B$108*$K$551*G567,0)</f>
        <v/>
      </c>
      <c r="H574" s="24">
        <f>IF(H530&gt;=B574,$B$108*$K$551*H567,0)</f>
        <v/>
      </c>
      <c r="I574" s="24">
        <f>IF(I530&gt;=B574,$B$108*$K$551*I567,0)</f>
        <v/>
      </c>
      <c r="J574" s="24">
        <f>IF(J530&gt;=B574,$B$108*$K$551*J567,0)</f>
        <v/>
      </c>
      <c r="K574" s="24">
        <f>IF(K530&gt;=B574,$B$108*$K$551*K567,0)</f>
        <v/>
      </c>
    </row>
    <row r="575">
      <c r="A575" s="2" t="inlineStr">
        <is>
          <t xml:space="preserve">  Run-rate sales (as if fully ramped): rows = cohort opened in year shown in column B; columns = calendar year.</t>
        </is>
      </c>
    </row>
    <row r="576">
      <c r="A576" t="inlineStr">
        <is>
          <t xml:space="preserve">    cohort</t>
        </is>
      </c>
      <c r="B576" s="31">
        <f>F530</f>
        <v/>
      </c>
      <c r="F576" s="24">
        <f>IF(F530&gt;=B576,$F$552*F535,0)</f>
        <v/>
      </c>
      <c r="G576" s="24">
        <f>IF(G530&gt;=B576,$F$552*G535,0)</f>
        <v/>
      </c>
      <c r="H576" s="24">
        <f>IF(H530&gt;=B576,$F$552*H535,0)</f>
        <v/>
      </c>
      <c r="I576" s="24">
        <f>IF(I530&gt;=B576,$F$552*I535,0)</f>
        <v/>
      </c>
      <c r="J576" s="24">
        <f>IF(J530&gt;=B576,$F$552*J535,0)</f>
        <v/>
      </c>
      <c r="K576" s="24">
        <f>IF(K530&gt;=B576,$F$552*K535,0)</f>
        <v/>
      </c>
    </row>
    <row r="577">
      <c r="A577" t="inlineStr">
        <is>
          <t xml:space="preserve">    cohort</t>
        </is>
      </c>
      <c r="B577" s="31">
        <f>G530</f>
        <v/>
      </c>
      <c r="F577" s="24">
        <f>IF(F530&gt;=B577,$G$552*F535,0)</f>
        <v/>
      </c>
      <c r="G577" s="24">
        <f>IF(G530&gt;=B577,$G$552*G535,0)</f>
        <v/>
      </c>
      <c r="H577" s="24">
        <f>IF(H530&gt;=B577,$G$552*H535,0)</f>
        <v/>
      </c>
      <c r="I577" s="24">
        <f>IF(I530&gt;=B577,$G$552*I535,0)</f>
        <v/>
      </c>
      <c r="J577" s="24">
        <f>IF(J530&gt;=B577,$G$552*J535,0)</f>
        <v/>
      </c>
      <c r="K577" s="24">
        <f>IF(K530&gt;=B577,$G$552*K535,0)</f>
        <v/>
      </c>
    </row>
    <row r="578">
      <c r="A578" t="inlineStr">
        <is>
          <t xml:space="preserve">    cohort</t>
        </is>
      </c>
      <c r="B578" s="31">
        <f>H530</f>
        <v/>
      </c>
      <c r="F578" s="24">
        <f>IF(F530&gt;=B578,$H$552*F535,0)</f>
        <v/>
      </c>
      <c r="G578" s="24">
        <f>IF(G530&gt;=B578,$H$552*G535,0)</f>
        <v/>
      </c>
      <c r="H578" s="24">
        <f>IF(H530&gt;=B578,$H$552*H535,0)</f>
        <v/>
      </c>
      <c r="I578" s="24">
        <f>IF(I530&gt;=B578,$H$552*I535,0)</f>
        <v/>
      </c>
      <c r="J578" s="24">
        <f>IF(J530&gt;=B578,$H$552*J535,0)</f>
        <v/>
      </c>
      <c r="K578" s="24">
        <f>IF(K530&gt;=B578,$H$552*K535,0)</f>
        <v/>
      </c>
    </row>
    <row r="579">
      <c r="A579" t="inlineStr">
        <is>
          <t xml:space="preserve">    cohort</t>
        </is>
      </c>
      <c r="B579" s="31">
        <f>I530</f>
        <v/>
      </c>
      <c r="F579" s="24">
        <f>IF(F530&gt;=B579,$I$552*F535,0)</f>
        <v/>
      </c>
      <c r="G579" s="24">
        <f>IF(G530&gt;=B579,$I$552*G535,0)</f>
        <v/>
      </c>
      <c r="H579" s="24">
        <f>IF(H530&gt;=B579,$I$552*H535,0)</f>
        <v/>
      </c>
      <c r="I579" s="24">
        <f>IF(I530&gt;=B579,$I$552*I535,0)</f>
        <v/>
      </c>
      <c r="J579" s="24">
        <f>IF(J530&gt;=B579,$I$552*J535,0)</f>
        <v/>
      </c>
      <c r="K579" s="24">
        <f>IF(K530&gt;=B579,$I$552*K535,0)</f>
        <v/>
      </c>
    </row>
    <row r="580">
      <c r="A580" t="inlineStr">
        <is>
          <t xml:space="preserve">    cohort</t>
        </is>
      </c>
      <c r="B580" s="31">
        <f>J530</f>
        <v/>
      </c>
      <c r="F580" s="24">
        <f>IF(F530&gt;=B580,$J$552*F535,0)</f>
        <v/>
      </c>
      <c r="G580" s="24">
        <f>IF(G530&gt;=B580,$J$552*G535,0)</f>
        <v/>
      </c>
      <c r="H580" s="24">
        <f>IF(H530&gt;=B580,$J$552*H535,0)</f>
        <v/>
      </c>
      <c r="I580" s="24">
        <f>IF(I530&gt;=B580,$J$552*I535,0)</f>
        <v/>
      </c>
      <c r="J580" s="24">
        <f>IF(J530&gt;=B580,$J$552*J535,0)</f>
        <v/>
      </c>
      <c r="K580" s="24">
        <f>IF(K530&gt;=B580,$J$552*K535,0)</f>
        <v/>
      </c>
    </row>
    <row r="581">
      <c r="A581" t="inlineStr">
        <is>
          <t xml:space="preserve">    cohort</t>
        </is>
      </c>
      <c r="B581" s="31">
        <f>K530</f>
        <v/>
      </c>
      <c r="F581" s="24">
        <f>IF(F530&gt;=B581,$K$552*F535,0)</f>
        <v/>
      </c>
      <c r="G581" s="24">
        <f>IF(G530&gt;=B581,$K$552*G535,0)</f>
        <v/>
      </c>
      <c r="H581" s="24">
        <f>IF(H530&gt;=B581,$K$552*H535,0)</f>
        <v/>
      </c>
      <c r="I581" s="24">
        <f>IF(I530&gt;=B581,$K$552*I535,0)</f>
        <v/>
      </c>
      <c r="J581" s="24">
        <f>IF(J530&gt;=B581,$K$552*J535,0)</f>
        <v/>
      </c>
      <c r="K581" s="24">
        <f>IF(K530&gt;=B581,$K$552*K535,0)</f>
        <v/>
      </c>
    </row>
    <row r="582">
      <c r="A582" s="2" t="inlineStr">
        <is>
          <t xml:space="preserve">  EBITDA after rent = run-rate x ramp share: rows = cohort opened in year shown in column B; columns = calendar year.</t>
        </is>
      </c>
    </row>
    <row r="583">
      <c r="A583" t="inlineStr">
        <is>
          <t xml:space="preserve">    cohort</t>
        </is>
      </c>
      <c r="B583" s="31">
        <f>F530</f>
        <v/>
      </c>
      <c r="F583" s="24">
        <f>F569*F555</f>
        <v/>
      </c>
      <c r="G583" s="24">
        <f>G569*G555</f>
        <v/>
      </c>
      <c r="H583" s="24">
        <f>H569*H555</f>
        <v/>
      </c>
      <c r="I583" s="24">
        <f>I569*I555</f>
        <v/>
      </c>
      <c r="J583" s="24">
        <f>J569*J555</f>
        <v/>
      </c>
      <c r="K583" s="24">
        <f>K569*K555</f>
        <v/>
      </c>
    </row>
    <row r="584">
      <c r="A584" t="inlineStr">
        <is>
          <t xml:space="preserve">    cohort</t>
        </is>
      </c>
      <c r="B584" s="31">
        <f>G530</f>
        <v/>
      </c>
      <c r="F584" s="24">
        <f>F570*F556</f>
        <v/>
      </c>
      <c r="G584" s="24">
        <f>G570*G556</f>
        <v/>
      </c>
      <c r="H584" s="24">
        <f>H570*H556</f>
        <v/>
      </c>
      <c r="I584" s="24">
        <f>I570*I556</f>
        <v/>
      </c>
      <c r="J584" s="24">
        <f>J570*J556</f>
        <v/>
      </c>
      <c r="K584" s="24">
        <f>K570*K556</f>
        <v/>
      </c>
    </row>
    <row r="585">
      <c r="A585" t="inlineStr">
        <is>
          <t xml:space="preserve">    cohort</t>
        </is>
      </c>
      <c r="B585" s="31">
        <f>H530</f>
        <v/>
      </c>
      <c r="F585" s="24">
        <f>F571*F557</f>
        <v/>
      </c>
      <c r="G585" s="24">
        <f>G571*G557</f>
        <v/>
      </c>
      <c r="H585" s="24">
        <f>H571*H557</f>
        <v/>
      </c>
      <c r="I585" s="24">
        <f>I571*I557</f>
        <v/>
      </c>
      <c r="J585" s="24">
        <f>J571*J557</f>
        <v/>
      </c>
      <c r="K585" s="24">
        <f>K571*K557</f>
        <v/>
      </c>
    </row>
    <row r="586">
      <c r="A586" t="inlineStr">
        <is>
          <t xml:space="preserve">    cohort</t>
        </is>
      </c>
      <c r="B586" s="31">
        <f>I530</f>
        <v/>
      </c>
      <c r="F586" s="24">
        <f>F572*F558</f>
        <v/>
      </c>
      <c r="G586" s="24">
        <f>G572*G558</f>
        <v/>
      </c>
      <c r="H586" s="24">
        <f>H572*H558</f>
        <v/>
      </c>
      <c r="I586" s="24">
        <f>I572*I558</f>
        <v/>
      </c>
      <c r="J586" s="24">
        <f>J572*J558</f>
        <v/>
      </c>
      <c r="K586" s="24">
        <f>K572*K558</f>
        <v/>
      </c>
    </row>
    <row r="587">
      <c r="A587" t="inlineStr">
        <is>
          <t xml:space="preserve">    cohort</t>
        </is>
      </c>
      <c r="B587" s="31">
        <f>J530</f>
        <v/>
      </c>
      <c r="F587" s="24">
        <f>F573*F559</f>
        <v/>
      </c>
      <c r="G587" s="24">
        <f>G573*G559</f>
        <v/>
      </c>
      <c r="H587" s="24">
        <f>H573*H559</f>
        <v/>
      </c>
      <c r="I587" s="24">
        <f>I573*I559</f>
        <v/>
      </c>
      <c r="J587" s="24">
        <f>J573*J559</f>
        <v/>
      </c>
      <c r="K587" s="24">
        <f>K573*K559</f>
        <v/>
      </c>
    </row>
    <row r="588">
      <c r="A588" t="inlineStr">
        <is>
          <t xml:space="preserve">    cohort</t>
        </is>
      </c>
      <c r="B588" s="31">
        <f>K530</f>
        <v/>
      </c>
      <c r="F588" s="24">
        <f>F574*F560</f>
        <v/>
      </c>
      <c r="G588" s="24">
        <f>G574*G560</f>
        <v/>
      </c>
      <c r="H588" s="24">
        <f>H574*H560</f>
        <v/>
      </c>
      <c r="I588" s="24">
        <f>I574*I560</f>
        <v/>
      </c>
      <c r="J588" s="24">
        <f>J574*J560</f>
        <v/>
      </c>
      <c r="K588" s="24">
        <f>K574*K560</f>
        <v/>
      </c>
    </row>
    <row r="589">
      <c r="A589" s="2" t="inlineStr">
        <is>
          <t xml:space="preserve">  Sales = run-rate x ramp share: rows = cohort opened in year shown in column B; columns = calendar year.</t>
        </is>
      </c>
    </row>
    <row r="590">
      <c r="A590" t="inlineStr">
        <is>
          <t xml:space="preserve">    cohort</t>
        </is>
      </c>
      <c r="B590" s="31">
        <f>F530</f>
        <v/>
      </c>
      <c r="F590" s="24">
        <f>F576*F555</f>
        <v/>
      </c>
      <c r="G590" s="24">
        <f>G576*G555</f>
        <v/>
      </c>
      <c r="H590" s="24">
        <f>H576*H555</f>
        <v/>
      </c>
      <c r="I590" s="24">
        <f>I576*I555</f>
        <v/>
      </c>
      <c r="J590" s="24">
        <f>J576*J555</f>
        <v/>
      </c>
      <c r="K590" s="24">
        <f>K576*K555</f>
        <v/>
      </c>
    </row>
    <row r="591">
      <c r="A591" t="inlineStr">
        <is>
          <t xml:space="preserve">    cohort</t>
        </is>
      </c>
      <c r="B591" s="31">
        <f>G530</f>
        <v/>
      </c>
      <c r="F591" s="24">
        <f>F577*F556</f>
        <v/>
      </c>
      <c r="G591" s="24">
        <f>G577*G556</f>
        <v/>
      </c>
      <c r="H591" s="24">
        <f>H577*H556</f>
        <v/>
      </c>
      <c r="I591" s="24">
        <f>I577*I556</f>
        <v/>
      </c>
      <c r="J591" s="24">
        <f>J577*J556</f>
        <v/>
      </c>
      <c r="K591" s="24">
        <f>K577*K556</f>
        <v/>
      </c>
    </row>
    <row r="592">
      <c r="A592" t="inlineStr">
        <is>
          <t xml:space="preserve">    cohort</t>
        </is>
      </c>
      <c r="B592" s="31">
        <f>H530</f>
        <v/>
      </c>
      <c r="F592" s="24">
        <f>F578*F557</f>
        <v/>
      </c>
      <c r="G592" s="24">
        <f>G578*G557</f>
        <v/>
      </c>
      <c r="H592" s="24">
        <f>H578*H557</f>
        <v/>
      </c>
      <c r="I592" s="24">
        <f>I578*I557</f>
        <v/>
      </c>
      <c r="J592" s="24">
        <f>J578*J557</f>
        <v/>
      </c>
      <c r="K592" s="24">
        <f>K578*K557</f>
        <v/>
      </c>
    </row>
    <row r="593">
      <c r="A593" t="inlineStr">
        <is>
          <t xml:space="preserve">    cohort</t>
        </is>
      </c>
      <c r="B593" s="31">
        <f>I530</f>
        <v/>
      </c>
      <c r="F593" s="24">
        <f>F579*F558</f>
        <v/>
      </c>
      <c r="G593" s="24">
        <f>G579*G558</f>
        <v/>
      </c>
      <c r="H593" s="24">
        <f>H579*H558</f>
        <v/>
      </c>
      <c r="I593" s="24">
        <f>I579*I558</f>
        <v/>
      </c>
      <c r="J593" s="24">
        <f>J579*J558</f>
        <v/>
      </c>
      <c r="K593" s="24">
        <f>K579*K558</f>
        <v/>
      </c>
    </row>
    <row r="594">
      <c r="A594" t="inlineStr">
        <is>
          <t xml:space="preserve">    cohort</t>
        </is>
      </c>
      <c r="B594" s="31">
        <f>J530</f>
        <v/>
      </c>
      <c r="F594" s="24">
        <f>F580*F559</f>
        <v/>
      </c>
      <c r="G594" s="24">
        <f>G580*G559</f>
        <v/>
      </c>
      <c r="H594" s="24">
        <f>H580*H559</f>
        <v/>
      </c>
      <c r="I594" s="24">
        <f>I580*I559</f>
        <v/>
      </c>
      <c r="J594" s="24">
        <f>J580*J559</f>
        <v/>
      </c>
      <c r="K594" s="24">
        <f>K580*K559</f>
        <v/>
      </c>
    </row>
    <row r="595">
      <c r="A595" t="inlineStr">
        <is>
          <t xml:space="preserve">    cohort</t>
        </is>
      </c>
      <c r="B595" s="31">
        <f>K530</f>
        <v/>
      </c>
      <c r="F595" s="24">
        <f>F581*F560</f>
        <v/>
      </c>
      <c r="G595" s="24">
        <f>G581*G560</f>
        <v/>
      </c>
      <c r="H595" s="24">
        <f>H581*H560</f>
        <v/>
      </c>
      <c r="I595" s="24">
        <f>I581*I560</f>
        <v/>
      </c>
      <c r="J595" s="24">
        <f>J581*J560</f>
        <v/>
      </c>
      <c r="K595" s="24">
        <f>K581*K560</f>
        <v/>
      </c>
    </row>
    <row r="596">
      <c r="A596" t="inlineStr">
        <is>
          <t>New locations opened in year</t>
        </is>
      </c>
      <c r="F596" s="32">
        <f>F548+F549</f>
        <v/>
      </c>
      <c r="G596" s="32">
        <f>G548+G549</f>
        <v/>
      </c>
      <c r="H596" s="32">
        <f>H548+H549</f>
        <v/>
      </c>
      <c r="I596" s="32">
        <f>I548+I549</f>
        <v/>
      </c>
      <c r="J596" s="32">
        <f>J548+J549</f>
        <v/>
      </c>
      <c r="K596" s="32">
        <f>K548+K549</f>
        <v/>
      </c>
    </row>
    <row r="597">
      <c r="A597" t="inlineStr">
        <is>
          <t>New locations open, cumulative</t>
        </is>
      </c>
      <c r="F597" s="32">
        <f>F596</f>
        <v/>
      </c>
      <c r="G597" s="32">
        <f>F597+G596</f>
        <v/>
      </c>
      <c r="H597" s="32">
        <f>G597+H596</f>
        <v/>
      </c>
      <c r="I597" s="32">
        <f>H597+I596</f>
        <v/>
      </c>
      <c r="J597" s="32">
        <f>I597+J596</f>
        <v/>
      </c>
      <c r="K597" s="32">
        <f>J597+K596</f>
        <v/>
      </c>
    </row>
    <row r="598">
      <c r="A598" t="inlineStr">
        <is>
          <t>Growth capex (this year's cohort cost)</t>
        </is>
      </c>
      <c r="F598" s="24">
        <f>F551</f>
        <v/>
      </c>
      <c r="G598" s="24">
        <f>G551</f>
        <v/>
      </c>
      <c r="H598" s="24">
        <f>H551</f>
        <v/>
      </c>
      <c r="I598" s="24">
        <f>I551</f>
        <v/>
      </c>
      <c r="J598" s="24">
        <f>J551</f>
        <v/>
      </c>
      <c r="K598" s="24">
        <f>K551</f>
        <v/>
      </c>
    </row>
    <row r="599">
      <c r="A599" s="20" t="inlineStr">
        <is>
          <t>New-location EBITDA after rent</t>
        </is>
      </c>
      <c r="F599" s="25">
        <f>SUM(F583:F588)</f>
        <v/>
      </c>
      <c r="G599" s="25">
        <f>SUM(G583:G588)</f>
        <v/>
      </c>
      <c r="H599" s="25">
        <f>SUM(H583:H588)</f>
        <v/>
      </c>
      <c r="I599" s="25">
        <f>SUM(I583:I588)</f>
        <v/>
      </c>
      <c r="J599" s="25">
        <f>SUM(J583:J588)</f>
        <v/>
      </c>
      <c r="K599" s="25">
        <f>SUM(K583:K588)</f>
        <v/>
      </c>
    </row>
    <row r="600">
      <c r="A600" t="inlineStr">
        <is>
          <t>New-location sales</t>
        </is>
      </c>
      <c r="F600" s="24">
        <f>SUM(F590:F595)</f>
        <v/>
      </c>
      <c r="G600" s="24">
        <f>SUM(G590:G595)</f>
        <v/>
      </c>
      <c r="H600" s="24">
        <f>SUM(H590:H595)</f>
        <v/>
      </c>
      <c r="I600" s="24">
        <f>SUM(I590:I595)</f>
        <v/>
      </c>
      <c r="J600" s="24">
        <f>SUM(J590:J595)</f>
        <v/>
      </c>
      <c r="K600" s="24">
        <f>SUM(K590:K595)</f>
        <v/>
      </c>
    </row>
    <row r="601">
      <c r="A601" t="inlineStr">
        <is>
          <t>Memo: new-location run-rate EBITDA after rent</t>
        </is>
      </c>
      <c r="F601" s="24">
        <f>SUM(F569:F574)</f>
        <v/>
      </c>
      <c r="G601" s="24">
        <f>SUM(G569:G574)</f>
        <v/>
      </c>
      <c r="H601" s="24">
        <f>SUM(H569:H574)</f>
        <v/>
      </c>
      <c r="I601" s="24">
        <f>SUM(I569:I574)</f>
        <v/>
      </c>
      <c r="J601" s="24">
        <f>SUM(J569:J574)</f>
        <v/>
      </c>
      <c r="K601" s="24">
        <f>SUM(K569:K574)</f>
        <v/>
      </c>
    </row>
    <row r="602">
      <c r="A602" t="inlineStr">
        <is>
          <t>Memo: new-location run-rate sales</t>
        </is>
      </c>
      <c r="F602" s="24">
        <f>SUM(F576:F581)</f>
        <v/>
      </c>
      <c r="G602" s="24">
        <f>SUM(G576:G581)</f>
        <v/>
      </c>
      <c r="H602" s="24">
        <f>SUM(H576:H581)</f>
        <v/>
      </c>
      <c r="I602" s="24">
        <f>SUM(I576:I581)</f>
        <v/>
      </c>
      <c r="J602" s="24">
        <f>SUM(J576:J581)</f>
        <v/>
      </c>
      <c r="K602" s="24">
        <f>SUM(K576:K581)</f>
        <v/>
      </c>
    </row>
    <row r="603">
      <c r="A603" t="inlineStr">
        <is>
          <t>Memo: new-location rent (sales x network rent ratio)</t>
        </is>
      </c>
      <c r="F603" s="24">
        <f>F546*F600</f>
        <v/>
      </c>
      <c r="G603" s="24">
        <f>G546*G600</f>
        <v/>
      </c>
      <c r="H603" s="24">
        <f>H546*H600</f>
        <v/>
      </c>
      <c r="I603" s="24">
        <f>I546*I600</f>
        <v/>
      </c>
      <c r="J603" s="24">
        <f>J546*J600</f>
        <v/>
      </c>
      <c r="K603" s="24">
        <f>K546*K600</f>
        <v/>
      </c>
      <c r="L603" s="10" t="inlineStr">
        <is>
          <t>Presentation only: new-location earnings are modelled after rent</t>
        </is>
      </c>
    </row>
    <row r="604">
      <c r="A604" s="20" t="inlineStr">
        <is>
          <t>Total sales</t>
        </is>
      </c>
      <c r="F604" s="25">
        <f>F538+F600</f>
        <v/>
      </c>
      <c r="G604" s="25">
        <f>G538+G600</f>
        <v/>
      </c>
      <c r="H604" s="25">
        <f>H538+H600</f>
        <v/>
      </c>
      <c r="I604" s="25">
        <f>I538+I600</f>
        <v/>
      </c>
      <c r="J604" s="25">
        <f>J538+J600</f>
        <v/>
      </c>
      <c r="K604" s="25">
        <f>K538+K600</f>
        <v/>
      </c>
    </row>
    <row r="605">
      <c r="A605" t="inlineStr">
        <is>
          <t>Total Adjusted EBITDA (memo, pre-rent)</t>
        </is>
      </c>
      <c r="F605" s="24">
        <f>F543+F599+F603</f>
        <v/>
      </c>
      <c r="G605" s="24">
        <f>G543+G599+G603</f>
        <v/>
      </c>
      <c r="H605" s="24">
        <f>H543+H599+H603</f>
        <v/>
      </c>
      <c r="I605" s="24">
        <f>I543+I599+I603</f>
        <v/>
      </c>
      <c r="J605" s="24">
        <f>J543+J599+J603</f>
        <v/>
      </c>
      <c r="K605" s="24">
        <f>K543+K599+K603</f>
        <v/>
      </c>
    </row>
    <row r="606">
      <c r="A606" s="20" t="inlineStr">
        <is>
          <t>EBITDA after rent</t>
        </is>
      </c>
      <c r="F606" s="25">
        <f>F543-F545+F599</f>
        <v/>
      </c>
      <c r="G606" s="25">
        <f>G543-G545+G599</f>
        <v/>
      </c>
      <c r="H606" s="25">
        <f>H543-H545+H599</f>
        <v/>
      </c>
      <c r="I606" s="25">
        <f>I543-I545+I599</f>
        <v/>
      </c>
      <c r="J606" s="25">
        <f>J543-J545+J599</f>
        <v/>
      </c>
      <c r="K606" s="25">
        <f>K543-K545+K599</f>
        <v/>
      </c>
    </row>
    <row r="607">
      <c r="A607" t="inlineStr">
        <is>
          <t>Maintenance capex</t>
        </is>
      </c>
      <c r="F607" s="24">
        <f>$B$106*F604</f>
        <v/>
      </c>
      <c r="G607" s="24">
        <f>$B$106*G604</f>
        <v/>
      </c>
      <c r="H607" s="24">
        <f>$B$106*H604</f>
        <v/>
      </c>
      <c r="I607" s="24">
        <f>$B$106*I604</f>
        <v/>
      </c>
      <c r="J607" s="24">
        <f>$B$106*J604</f>
        <v/>
      </c>
      <c r="K607" s="24">
        <f>$B$106*K604</f>
        <v/>
      </c>
    </row>
    <row r="608">
      <c r="A608" t="inlineStr">
        <is>
          <t>Software capex</t>
        </is>
      </c>
      <c r="F608" s="24">
        <f>$B$52*F604</f>
        <v/>
      </c>
      <c r="G608" s="24">
        <f>$B$52*G604</f>
        <v/>
      </c>
      <c r="H608" s="24">
        <f>$B$52*H604</f>
        <v/>
      </c>
      <c r="I608" s="24">
        <f>$B$52*I604</f>
        <v/>
      </c>
      <c r="J608" s="24">
        <f>$B$52*J604</f>
        <v/>
      </c>
      <c r="K608" s="24">
        <f>$B$52*K604</f>
        <v/>
      </c>
    </row>
    <row r="609">
      <c r="A609" t="inlineStr">
        <is>
          <t>Normalized acquisition cost</t>
        </is>
      </c>
      <c r="F609" s="18">
        <f>$B$53</f>
        <v/>
      </c>
      <c r="G609" s="18">
        <f>$B$53</f>
        <v/>
      </c>
      <c r="H609" s="18">
        <f>$B$53</f>
        <v/>
      </c>
      <c r="I609" s="18">
        <f>$B$53</f>
        <v/>
      </c>
      <c r="J609" s="18">
        <f>$B$53</f>
        <v/>
      </c>
      <c r="K609" s="18">
        <f>$B$53</f>
        <v/>
      </c>
    </row>
    <row r="610">
      <c r="A610" t="inlineStr">
        <is>
          <t>Pre-tax Owners' Earnings</t>
        </is>
      </c>
      <c r="F610" s="24">
        <f>F606-F607-F608-F609</f>
        <v/>
      </c>
      <c r="G610" s="24">
        <f>G606-G607-G608-G609</f>
        <v/>
      </c>
      <c r="H610" s="24">
        <f>H606-H607-H608-H609</f>
        <v/>
      </c>
      <c r="I610" s="24">
        <f>I606-I607-I608-I609</f>
        <v/>
      </c>
      <c r="J610" s="24">
        <f>J606-J607-J608-J609</f>
        <v/>
      </c>
      <c r="K610" s="24">
        <f>K606-K607-K608-K609</f>
        <v/>
      </c>
    </row>
    <row r="611">
      <c r="A611" s="20" t="inlineStr">
        <is>
          <t>Owners' Earnings</t>
        </is>
      </c>
      <c r="F611" s="25">
        <f>F610*(1-$B$54)</f>
        <v/>
      </c>
      <c r="G611" s="25">
        <f>G610*(1-$B$54)</f>
        <v/>
      </c>
      <c r="H611" s="25">
        <f>H610*(1-$B$54)</f>
        <v/>
      </c>
      <c r="I611" s="25">
        <f>I610*(1-$B$54)</f>
        <v/>
      </c>
      <c r="J611" s="25">
        <f>J610*(1-$B$54)</f>
        <v/>
      </c>
      <c r="K611" s="25">
        <f>K610*(1-$B$54)</f>
        <v/>
      </c>
    </row>
    <row r="612">
      <c r="A612" t="inlineStr">
        <is>
          <t>Maintenance + software capex rate</t>
        </is>
      </c>
      <c r="B612" s="27">
        <f>B106+$B$52</f>
        <v/>
      </c>
    </row>
    <row r="613">
      <c r="A613" t="inlineStr">
        <is>
          <t xml:space="preserve">  OE from existing business</t>
        </is>
      </c>
      <c r="F613" s="24">
        <f>(F543-F545-$B$612*F538-F609)*(1-$B$54)</f>
        <v/>
      </c>
      <c r="G613" s="24">
        <f>(G543-G545-$B$612*G538-G609)*(1-$B$54)</f>
        <v/>
      </c>
      <c r="H613" s="24">
        <f>(H543-H545-$B$612*H538-H609)*(1-$B$54)</f>
        <v/>
      </c>
      <c r="I613" s="24">
        <f>(I543-I545-$B$612*I538-I609)*(1-$B$54)</f>
        <v/>
      </c>
      <c r="J613" s="24">
        <f>(J543-J545-$B$612*J538-J609)*(1-$B$54)</f>
        <v/>
      </c>
      <c r="K613" s="24">
        <f>(K543-K545-$B$612*K538-K609)*(1-$B$54)</f>
        <v/>
      </c>
    </row>
    <row r="614">
      <c r="A614" t="inlineStr">
        <is>
          <t xml:space="preserve">  OE from new locations</t>
        </is>
      </c>
      <c r="F614" s="24">
        <f>(F599-$B$612*F600)*(1-$B$54)</f>
        <v/>
      </c>
      <c r="G614" s="24">
        <f>(G599-$B$612*G600)*(1-$B$54)</f>
        <v/>
      </c>
      <c r="H614" s="24">
        <f>(H599-$B$612*H600)*(1-$B$54)</f>
        <v/>
      </c>
      <c r="I614" s="24">
        <f>(I599-$B$612*I600)*(1-$B$54)</f>
        <v/>
      </c>
      <c r="J614" s="24">
        <f>(J599-$B$612*J600)*(1-$B$54)</f>
        <v/>
      </c>
      <c r="K614" s="24">
        <f>(K599-$B$612*K600)*(1-$B$54)</f>
        <v/>
      </c>
    </row>
    <row r="615">
      <c r="A615" t="inlineStr">
        <is>
          <t xml:space="preserve">  Memo: new-location OE if all cohorts were mature</t>
        </is>
      </c>
      <c r="F615" s="24">
        <f>(F601-$B$612*F602)*(1-$B$54)</f>
        <v/>
      </c>
      <c r="G615" s="24">
        <f>(G601-$B$612*G602)*(1-$B$54)</f>
        <v/>
      </c>
      <c r="H615" s="24">
        <f>(H601-$B$612*H602)*(1-$B$54)</f>
        <v/>
      </c>
      <c r="I615" s="24">
        <f>(I601-$B$612*I602)*(1-$B$54)</f>
        <v/>
      </c>
      <c r="J615" s="24">
        <f>(J601-$B$612*J602)*(1-$B$54)</f>
        <v/>
      </c>
      <c r="K615" s="24">
        <f>(K601-$B$612*K602)*(1-$B$54)</f>
        <v/>
      </c>
    </row>
    <row r="616">
      <c r="A616" t="inlineStr">
        <is>
          <t xml:space="preserve">  Memo: OE still ramping</t>
        </is>
      </c>
      <c r="F616" s="24">
        <f>F615-F614</f>
        <v/>
      </c>
      <c r="G616" s="24">
        <f>G615-G614</f>
        <v/>
      </c>
      <c r="H616" s="24">
        <f>H615-H614</f>
        <v/>
      </c>
      <c r="I616" s="24">
        <f>I615-I614</f>
        <v/>
      </c>
      <c r="J616" s="24">
        <f>J615-J614</f>
        <v/>
      </c>
      <c r="K616" s="24">
        <f>K615-K614</f>
        <v/>
      </c>
    </row>
    <row r="617">
      <c r="A617" t="inlineStr">
        <is>
          <t>One-off integration costs (after tax)</t>
        </is>
      </c>
      <c r="F617" s="24">
        <f>$F$59*(($B$55-$B$56)*(1-$B$54)+($B$57-$B$58))</f>
        <v/>
      </c>
      <c r="G617" s="24">
        <f>$G$59*(($B$55-$B$56)*(1-$B$54)+($B$57-$B$58))</f>
        <v/>
      </c>
      <c r="H617" s="24">
        <f>$H$59*(($B$55-$B$56)*(1-$B$54)+($B$57-$B$58))</f>
        <v/>
      </c>
      <c r="I617" s="24">
        <f>$I$59*(($B$55-$B$56)*(1-$B$54)+($B$57-$B$58))</f>
        <v/>
      </c>
      <c r="J617" s="24">
        <f>$J$59*(($B$55-$B$56)*(1-$B$54)+($B$57-$B$58))</f>
        <v/>
      </c>
      <c r="K617" s="24">
        <f>$K$59*(($B$55-$B$56)*(1-$B$54)+($B$57-$B$58))</f>
        <v/>
      </c>
    </row>
    <row r="618">
      <c r="A618" s="20" t="inlineStr">
        <is>
          <t>Distributable cash = OE - growth capex - one-offs</t>
        </is>
      </c>
      <c r="F618" s="25">
        <f>F611-F598-F617</f>
        <v/>
      </c>
      <c r="G618" s="25">
        <f>G611-G598-G617</f>
        <v/>
      </c>
      <c r="H618" s="25">
        <f>H611-H598-H617</f>
        <v/>
      </c>
      <c r="I618" s="25">
        <f>I611-I598-I617</f>
        <v/>
      </c>
      <c r="J618" s="25">
        <f>J611-J598-J617</f>
        <v/>
      </c>
      <c r="K618" s="25">
        <f>K611-K598-K617</f>
        <v/>
      </c>
    </row>
    <row r="619">
      <c r="A619" t="inlineStr">
        <is>
          <t>Cash after after-tax interest and dividends</t>
        </is>
      </c>
      <c r="F619" s="24">
        <f>F618-$B$61*(1-$B$54)-$B$62</f>
        <v/>
      </c>
      <c r="G619" s="24">
        <f>G618-$B$61*(1-$B$54)-$B$62</f>
        <v/>
      </c>
      <c r="H619" s="24">
        <f>H618-$B$61*(1-$B$54)-$B$62</f>
        <v/>
      </c>
      <c r="I619" s="24">
        <f>I618-$B$61*(1-$B$54)-$B$62</f>
        <v/>
      </c>
      <c r="J619" s="24">
        <f>J618-$B$61*(1-$B$54)-$B$62</f>
        <v/>
      </c>
      <c r="K619" s="24">
        <f>K618-$B$61*(1-$B$54)-$B$62</f>
        <v/>
      </c>
    </row>
    <row r="620">
      <c r="A620" t="inlineStr">
        <is>
          <t>Net debt ex-leases, period end</t>
        </is>
      </c>
      <c r="E620" s="18">
        <f>$B$60</f>
        <v/>
      </c>
      <c r="F620" s="24">
        <f>E620-F619*$B$63</f>
        <v/>
      </c>
      <c r="G620" s="24">
        <f>F620-G619</f>
        <v/>
      </c>
      <c r="H620" s="24">
        <f>G620-H619</f>
        <v/>
      </c>
      <c r="I620" s="24">
        <f>H620-I619</f>
        <v/>
      </c>
      <c r="J620" s="24">
        <f>I620-J619</f>
        <v/>
      </c>
      <c r="K620" s="24">
        <f>J620-K619</f>
        <v/>
      </c>
    </row>
    <row r="621">
      <c r="A621" t="inlineStr">
        <is>
          <t>Net debt / EBITDA after rent</t>
        </is>
      </c>
      <c r="F621" s="33">
        <f>F620/F606</f>
        <v/>
      </c>
      <c r="G621" s="33">
        <f>G620/G606</f>
        <v/>
      </c>
      <c r="H621" s="33">
        <f>H620/H606</f>
        <v/>
      </c>
      <c r="I621" s="33">
        <f>I620/I606</f>
        <v/>
      </c>
      <c r="J621" s="33">
        <f>J620/J606</f>
        <v/>
      </c>
      <c r="K621" s="33">
        <f>K620/K606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90" customWidth="1" min="12" max="12"/>
  </cols>
  <sheetData>
    <row r="1">
      <c r="A1" s="1" t="inlineStr">
        <is>
          <t>Boyd Group Services (BYD.TO) - Sheet 2: Terminal value at end-2031 (undiscounted)</t>
        </is>
      </c>
    </row>
    <row r="2">
      <c r="A2" s="2" t="inlineStr">
        <is>
          <t>US$ millions. TV = EV/EBITDA-after-rent multiple x FY2031E EBITDA after rent + same multiple x ramp gap. Python source: terminal_value.py. Multiples from collision-repair deal evidence, not Boyd's share price.</t>
        </is>
      </c>
    </row>
    <row r="3">
      <c r="A3" s="3" t="inlineStr">
        <is>
          <t>Input (change me)</t>
        </is>
      </c>
      <c r="B3" s="4" t="inlineStr">
        <is>
          <t>Linked from elsewhere (do not overwrite)</t>
        </is>
      </c>
      <c r="F3" t="inlineStr">
        <is>
          <t>Black = formula</t>
        </is>
      </c>
    </row>
    <row r="5">
      <c r="A5" s="5" t="inlineStr">
        <is>
          <t>INPUTS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inlineStr">
        <is>
          <t>2.1 Exit multiple (EV / EBITDA after rent)</t>
        </is>
      </c>
      <c r="B6" s="8" t="inlineStr">
        <is>
          <t>Bear</t>
        </is>
      </c>
      <c r="C6" s="8" t="inlineStr">
        <is>
          <t>Base</t>
        </is>
      </c>
      <c r="D6" s="8" t="inlineStr">
        <is>
          <t>No growth</t>
        </is>
      </c>
      <c r="E6" s="8" t="inlineStr">
        <is>
          <t>Bull</t>
        </is>
      </c>
      <c r="F6" s="7" t="n"/>
      <c r="G6" s="7" t="n"/>
      <c r="H6" s="7" t="n"/>
      <c r="I6" s="7" t="n"/>
      <c r="J6" s="7" t="n"/>
      <c r="K6" s="7" t="n"/>
      <c r="L6" s="7" t="inlineStr">
        <is>
          <t>Source / explanation</t>
        </is>
      </c>
    </row>
    <row r="7">
      <c r="A7" t="inlineStr">
        <is>
          <t>Chosen exit multiple</t>
        </is>
      </c>
      <c r="B7" s="34" t="n">
        <v>6</v>
      </c>
      <c r="C7" s="34" t="n">
        <v>8.5</v>
      </c>
      <c r="D7" s="34" t="n">
        <v>8.5</v>
      </c>
      <c r="E7" s="34" t="n">
        <v>10</v>
      </c>
      <c r="L7" s="10" t="inlineStr">
        <is>
          <t>JUDGMENT within the deal evidence in 2.4 (terminal_value.md sec 6-7). No growth = base (same network)</t>
        </is>
      </c>
    </row>
    <row r="9">
      <c r="A9" s="7" t="inlineStr">
        <is>
          <t>2.2 Steady-state assumptions (value-driver cross-check only)</t>
        </is>
      </c>
      <c r="B9" s="8" t="inlineStr">
        <is>
          <t>Bear</t>
        </is>
      </c>
      <c r="C9" s="8" t="inlineStr">
        <is>
          <t>Base</t>
        </is>
      </c>
      <c r="D9" s="8" t="inlineStr">
        <is>
          <t>No growth</t>
        </is>
      </c>
      <c r="E9" s="8" t="inlineStr">
        <is>
          <t>Bull</t>
        </is>
      </c>
      <c r="F9" s="7" t="n"/>
      <c r="G9" s="7" t="n"/>
      <c r="H9" s="7" t="n"/>
      <c r="I9" s="7" t="n"/>
      <c r="J9" s="7" t="n"/>
      <c r="K9" s="7" t="n"/>
      <c r="L9" s="7" t="inlineStr">
        <is>
          <t>Source / explanation</t>
        </is>
      </c>
    </row>
    <row r="10">
      <c r="A10" t="inlineStr">
        <is>
          <t>Growth without new capital (claims volume + repair cost)</t>
        </is>
      </c>
      <c r="B10" s="14" t="n">
        <v>0.005</v>
      </c>
      <c r="C10" s="14" t="n">
        <v>0.02</v>
      </c>
      <c r="D10" s="19">
        <f>C10</f>
        <v/>
      </c>
      <c r="E10" s="14" t="n">
        <v>0.025</v>
      </c>
      <c r="L10" s="10" t="inlineStr">
        <is>
          <t>Bear -1.5+2.0; Base -1.0+3.0; Bull capped so total g = 3% (impairment test)</t>
        </is>
      </c>
    </row>
    <row r="11">
      <c r="A11" t="inlineStr">
        <is>
          <t>Growth from share gains needing new capacity</t>
        </is>
      </c>
      <c r="B11" s="14" t="n">
        <v>0.005</v>
      </c>
      <c r="C11" s="14" t="n">
        <v>0.005</v>
      </c>
      <c r="D11" s="14" t="n">
        <v>0</v>
      </c>
      <c r="E11" s="14" t="n">
        <v>0.005</v>
      </c>
      <c r="L11" s="10" t="inlineStr">
        <is>
          <t>None in the no-growth-capex case</t>
        </is>
      </c>
    </row>
    <row r="12">
      <c r="A12" t="inlineStr">
        <is>
          <t>After-tax OE yield on new capacity</t>
        </is>
      </c>
      <c r="B12" s="14" t="n">
        <v>0.045</v>
      </c>
      <c r="C12" s="14" t="n">
        <v>0.077</v>
      </c>
      <c r="D12" s="19">
        <f>C12</f>
        <v/>
      </c>
      <c r="E12" s="14" t="n">
        <v>0.108</v>
      </c>
      <c r="L12" s="10" t="inlineStr">
        <is>
          <t>Mature unit OE yield (forecast_earnings.md sec 6.4)</t>
        </is>
      </c>
    </row>
    <row r="14">
      <c r="A14" s="7" t="inlineStr">
        <is>
          <t>2.3 Other cross-check inputs</t>
        </is>
      </c>
      <c r="B14" s="8" t="inlineStr">
        <is>
          <t>Value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inlineStr">
        <is>
          <t>Source / explanation</t>
        </is>
      </c>
    </row>
    <row r="15">
      <c r="A15" t="inlineStr">
        <is>
          <t>Boyd impairment test: terminal growth</t>
        </is>
      </c>
      <c r="B15" s="14" t="n">
        <v>0.03</v>
      </c>
      <c r="L15" s="10" t="inlineStr">
        <is>
          <t>FY2025 AFS l.966</t>
        </is>
      </c>
    </row>
    <row r="16">
      <c r="A16" t="inlineStr">
        <is>
          <t>Boyd impairment test: WACC low</t>
        </is>
      </c>
      <c r="B16" s="14" t="n">
        <v>0.07000000000000001</v>
      </c>
      <c r="L16" s="10" t="inlineStr">
        <is>
          <t>FY2025 AFS l.966</t>
        </is>
      </c>
    </row>
    <row r="17">
      <c r="A17" t="inlineStr">
        <is>
          <t>Boyd impairment test: WACC high</t>
        </is>
      </c>
      <c r="B17" s="14" t="n">
        <v>0.09</v>
      </c>
      <c r="L17" s="10" t="inlineStr">
        <is>
          <t>FY2025 AFS l.966</t>
        </is>
      </c>
    </row>
    <row r="18">
      <c r="A18" t="inlineStr">
        <is>
          <t>Cross-check discount rate (midpoint of impairment WACC)</t>
        </is>
      </c>
      <c r="B18" s="26">
        <f>AVERAGE(B16,B17)</f>
        <v/>
      </c>
      <c r="L18" s="10" t="inlineStr">
        <is>
          <t>Formula. Used only for value-driver check and to compound 2026-31 cash in 3.4</t>
        </is>
      </c>
    </row>
    <row r="19">
      <c r="A19" t="inlineStr">
        <is>
          <t>Management Adj. EBITDA margin target</t>
        </is>
      </c>
      <c r="B19" s="14" t="n">
        <v>0.14</v>
      </c>
      <c r="L19" s="10" t="inlineStr">
        <is>
          <t>Q2FY26 MD&amp;A (14% target); used in the margin-normalization check</t>
        </is>
      </c>
    </row>
    <row r="20">
      <c r="A20" t="inlineStr">
        <is>
          <t>Forecast weight - Bear</t>
        </is>
      </c>
      <c r="B20" s="19">
        <f>'1 Earnings'!B64</f>
        <v/>
      </c>
      <c r="L20" s="10" t="inlineStr">
        <is>
          <t>Linked to sheet 1</t>
        </is>
      </c>
    </row>
    <row r="21">
      <c r="A21" t="inlineStr">
        <is>
          <t>Forecast weight - Base</t>
        </is>
      </c>
      <c r="B21" s="19">
        <f>'1 Earnings'!B65</f>
        <v/>
      </c>
      <c r="L21" s="10" t="inlineStr">
        <is>
          <t>Linked to sheet 1</t>
        </is>
      </c>
    </row>
    <row r="22">
      <c r="A22" t="inlineStr">
        <is>
          <t>Forecast weight - Bull</t>
        </is>
      </c>
      <c r="B22" s="19">
        <f>'1 Earnings'!B66</f>
        <v/>
      </c>
      <c r="L22" s="10" t="inlineStr">
        <is>
          <t>Linked to sheet 1</t>
        </is>
      </c>
    </row>
    <row r="24">
      <c r="A24" s="7" t="inlineStr">
        <is>
          <t>2.4 Collision-repair valuation evidence (EV / EBITDA after rent)</t>
        </is>
      </c>
      <c r="B24" s="8" t="inlineStr">
        <is>
          <t>Low</t>
        </is>
      </c>
      <c r="C24" s="8" t="inlineStr">
        <is>
          <t>High</t>
        </is>
      </c>
      <c r="D24" s="8" t="inlineStr">
        <is>
          <t>Mid</t>
        </is>
      </c>
      <c r="E24" s="7" t="n"/>
      <c r="F24" s="7" t="n"/>
      <c r="G24" s="7" t="n"/>
      <c r="H24" s="7" t="n"/>
      <c r="I24" s="7" t="n"/>
      <c r="J24" s="7" t="n"/>
      <c r="K24" s="7" t="n"/>
      <c r="L24" s="7" t="inlineStr">
        <is>
          <t>Source / explanation</t>
        </is>
      </c>
    </row>
    <row r="25">
      <c r="A25" t="inlineStr">
        <is>
          <t>Single shops</t>
        </is>
      </c>
      <c r="B25" s="34" t="n">
        <v>3</v>
      </c>
      <c r="C25" s="34" t="n">
        <v>5</v>
      </c>
      <c r="D25" s="35">
        <f>AVERAGE(B25,C25)</f>
        <v/>
      </c>
      <c r="L25" s="10" t="inlineStr">
        <is>
          <t>Knowledge Store IDs 11, 28</t>
        </is>
      </c>
    </row>
    <row r="26">
      <c r="A26" t="inlineStr">
        <is>
          <t>Small / medium MSOs bought by consolidators</t>
        </is>
      </c>
      <c r="B26" s="34" t="n">
        <v>5</v>
      </c>
      <c r="C26" s="34" t="n">
        <v>7</v>
      </c>
      <c r="D26" s="35">
        <f>AVERAGE(B26,C26)</f>
        <v/>
      </c>
      <c r="L26" s="10" t="inlineStr">
        <is>
          <t>Knowledge Store IDs 20, 28</t>
        </is>
      </c>
    </row>
    <row r="27">
      <c r="A27" t="inlineStr">
        <is>
          <t>Market average, 2025 (weak claims year)</t>
        </is>
      </c>
      <c r="B27" s="34" t="n">
        <v>7</v>
      </c>
      <c r="C27" s="34" t="n">
        <v>7</v>
      </c>
      <c r="D27" s="35">
        <f>AVERAGE(B27,C27)</f>
        <v/>
      </c>
      <c r="L27" s="10" t="inlineStr">
        <is>
          <t>Knowledge Store IDs 19</t>
        </is>
      </c>
    </row>
    <row r="28">
      <c r="A28" t="inlineStr">
        <is>
          <t>MSOs with strong DRP relationships</t>
        </is>
      </c>
      <c r="B28" s="34" t="n">
        <v>7</v>
      </c>
      <c r="C28" s="34" t="n">
        <v>10</v>
      </c>
      <c r="D28" s="35">
        <f>AVERAGE(B28,C28)</f>
        <v/>
      </c>
      <c r="L28" s="10" t="inlineStr">
        <is>
          <t>Knowledge Store IDs 11</t>
        </is>
      </c>
    </row>
    <row r="29">
      <c r="A29" t="inlineStr">
        <is>
          <t>Platform-grade MSOs</t>
        </is>
      </c>
      <c r="B29" s="34" t="n">
        <v>8</v>
      </c>
      <c r="C29" s="34" t="n">
        <v>12</v>
      </c>
      <c r="D29" s="35">
        <f>AVERAGE(B29,C29)</f>
        <v/>
      </c>
      <c r="L29" s="10" t="inlineStr">
        <is>
          <t>Knowledge Store IDs 11</t>
        </is>
      </c>
    </row>
    <row r="30">
      <c r="A30" t="inlineStr">
        <is>
          <t>PE platform recap (illustrative)</t>
        </is>
      </c>
      <c r="B30" s="34" t="n">
        <v>10</v>
      </c>
      <c r="C30" s="34" t="n">
        <v>10</v>
      </c>
      <c r="D30" s="35">
        <f>AVERAGE(B30,C30)</f>
        <v/>
      </c>
      <c r="L30" s="10" t="inlineStr">
        <is>
          <t>Knowledge Store IDs 21</t>
        </is>
      </c>
    </row>
    <row r="31">
      <c r="A31" t="inlineStr">
        <is>
          <t>PE platforms raising capital, 2024</t>
        </is>
      </c>
      <c r="B31" s="34" t="n">
        <v>12</v>
      </c>
      <c r="C31" s="34" t="n">
        <v>14</v>
      </c>
      <c r="D31" s="35">
        <f>AVERAGE(B31,C31)</f>
        <v/>
      </c>
      <c r="L31" s="10" t="inlineStr">
        <is>
          <t>Knowledge Store IDs 20, 21</t>
        </is>
      </c>
    </row>
    <row r="32">
      <c r="A32" t="inlineStr">
        <is>
          <t>Joe Hudson's to TSG, 2019 ('north of 13x')</t>
        </is>
      </c>
      <c r="B32" s="34" t="n">
        <v>13</v>
      </c>
      <c r="C32" s="34" t="n">
        <v>13</v>
      </c>
      <c r="D32" s="35">
        <f>AVERAGE(B32,C32)</f>
        <v/>
      </c>
      <c r="L32" s="10" t="inlineStr">
        <is>
          <t>Knowledge Store IDs 25</t>
        </is>
      </c>
    </row>
    <row r="33">
      <c r="A33" t="inlineStr">
        <is>
          <t>Joe Hudson's to Boyd, 2025, run-rate pre-synergy</t>
        </is>
      </c>
      <c r="B33" s="34" t="n">
        <v>13.3</v>
      </c>
      <c r="C33" s="34" t="n">
        <v>13.3</v>
      </c>
      <c r="D33" s="35">
        <f>AVERAGE(B33,C33)</f>
        <v/>
      </c>
      <c r="L33" s="10" t="inlineStr">
        <is>
          <t>JH release l.43</t>
        </is>
      </c>
    </row>
    <row r="34">
      <c r="A34" t="inlineStr">
        <is>
          <t>Joe Hudson's to Boyd, 2025, run-rate + synergies</t>
        </is>
      </c>
      <c r="B34" s="34" t="n">
        <v>9.300000000000001</v>
      </c>
      <c r="C34" s="34" t="n">
        <v>9.300000000000001</v>
      </c>
      <c r="D34" s="35">
        <f>AVERAGE(B34,C34)</f>
        <v/>
      </c>
      <c r="L34" s="10" t="inlineStr">
        <is>
          <t>JH release l.43</t>
        </is>
      </c>
    </row>
    <row r="36">
      <c r="A36" s="7" t="inlineStr">
        <is>
          <t>2.5 Joe Hudson's deal (fetched_docs/boyd_joe_hudsons_acquisition_announcement.md)</t>
        </is>
      </c>
      <c r="B36" s="8" t="inlineStr">
        <is>
          <t>Value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inlineStr">
        <is>
          <t>Source / explanation</t>
        </is>
      </c>
    </row>
    <row r="37">
      <c r="A37" t="inlineStr">
        <is>
          <t>Purchase price</t>
        </is>
      </c>
      <c r="B37" s="13" t="n">
        <v>1300</v>
      </c>
      <c r="L37" s="10" t="inlineStr">
        <is>
          <t>line 13</t>
        </is>
      </c>
    </row>
    <row r="38">
      <c r="A38" t="inlineStr">
        <is>
          <t>Expected tax benefits</t>
        </is>
      </c>
      <c r="B38" s="13" t="n">
        <v>150</v>
      </c>
      <c r="L38" s="10" t="inlineStr">
        <is>
          <t>line 43 ('approximately $150 million'); also used as a standalone asset on sheet 3</t>
        </is>
      </c>
    </row>
    <row r="39">
      <c r="A39" t="inlineStr">
        <is>
          <t>JHCC Adj. EBITDA, US GAAP (after rent), TTM</t>
        </is>
      </c>
      <c r="B39" s="13" t="n">
        <v>63</v>
      </c>
      <c r="L39" s="10" t="inlineStr">
        <is>
          <t>line 37</t>
        </is>
      </c>
    </row>
    <row r="40">
      <c r="A40" t="inlineStr">
        <is>
          <t>JHCC Adj. EBITDA, IFRS-like (pre-rent), TTM</t>
        </is>
      </c>
      <c r="B40" s="13" t="n">
        <v>104</v>
      </c>
      <c r="L40" s="10" t="inlineStr">
        <is>
          <t>line 37</t>
        </is>
      </c>
    </row>
    <row r="41">
      <c r="A41" t="inlineStr">
        <is>
          <t>Disclosed multiple, run-rate pre-synergy</t>
        </is>
      </c>
      <c r="B41" s="34" t="n">
        <v>13.3</v>
      </c>
      <c r="L41" s="10" t="inlineStr">
        <is>
          <t>line 43</t>
        </is>
      </c>
    </row>
    <row r="42">
      <c r="A42" t="inlineStr">
        <is>
          <t>Disclosed multiple, run-rate + synergies</t>
        </is>
      </c>
      <c r="B42" s="34" t="n">
        <v>9.300000000000001</v>
      </c>
      <c r="L42" s="10" t="inlineStr">
        <is>
          <t>line 43</t>
        </is>
      </c>
    </row>
    <row r="43">
      <c r="A43" t="inlineStr">
        <is>
          <t>Disclosed synergies, low</t>
        </is>
      </c>
      <c r="B43" s="13" t="n">
        <v>35</v>
      </c>
      <c r="L43" s="10" t="inlineStr">
        <is>
          <t>line 45</t>
        </is>
      </c>
    </row>
    <row r="44">
      <c r="A44" t="inlineStr">
        <is>
          <t>Disclosed synergies, high</t>
        </is>
      </c>
      <c r="B44" s="13" t="n">
        <v>45</v>
      </c>
      <c r="L44" s="10" t="inlineStr">
        <is>
          <t>line 45</t>
        </is>
      </c>
    </row>
    <row r="46">
      <c r="A46" s="7" t="inlineStr">
        <is>
          <t>2.6 AMA Group (ASX: AMA), listed pure-play, A$M</t>
        </is>
      </c>
      <c r="B46" s="8" t="inlineStr">
        <is>
          <t>Value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inlineStr">
        <is>
          <t>Source / explanation</t>
        </is>
      </c>
    </row>
    <row r="47">
      <c r="A47" t="inlineStr">
        <is>
          <t>Market capitalization (2026-09-25)</t>
        </is>
      </c>
      <c r="B47" s="13" t="n">
        <v>238.42</v>
      </c>
      <c r="L47" s="10" t="inlineStr">
        <is>
          <t>Knowledge Store ID 26 (moderate confidence)</t>
        </is>
      </c>
    </row>
    <row r="48">
      <c r="A48" t="inlineStr">
        <is>
          <t>Net debt, FY26 (ex-leases)</t>
        </is>
      </c>
      <c r="B48" s="13" t="n">
        <v>18.4</v>
      </c>
      <c r="L48" s="10" t="inlineStr">
        <is>
          <t>Knowledge Store ID 26</t>
        </is>
      </c>
    </row>
    <row r="49">
      <c r="A49" t="inlineStr">
        <is>
          <t>EBITDA FY26 (pre-AASB 16, i.e. after rent)</t>
        </is>
      </c>
      <c r="B49" s="13" t="n">
        <v>68</v>
      </c>
      <c r="L49" s="10" t="inlineStr">
        <is>
          <t>Knowledge Store ID 26</t>
        </is>
      </c>
    </row>
    <row r="50">
      <c r="A50" t="inlineStr">
        <is>
          <t>EBITDA FY27 guidance low</t>
        </is>
      </c>
      <c r="B50" s="13" t="n">
        <v>75</v>
      </c>
      <c r="L50" s="10" t="inlineStr">
        <is>
          <t>Knowledge Store ID 26</t>
        </is>
      </c>
    </row>
    <row r="51">
      <c r="A51" t="inlineStr">
        <is>
          <t>EBITDA FY27 guidance high</t>
        </is>
      </c>
      <c r="B51" s="13" t="n">
        <v>80</v>
      </c>
      <c r="L51" s="10" t="inlineStr">
        <is>
          <t>Knowledge Store ID 26</t>
        </is>
      </c>
    </row>
    <row r="53">
      <c r="A53" s="7" t="inlineStr">
        <is>
          <t>2.7 Sensitivity axes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7" t="n"/>
      <c r="J53" s="7" t="n"/>
      <c r="K53" s="7" t="n"/>
      <c r="L53" s="7" t="n"/>
    </row>
    <row r="54">
      <c r="A54" t="inlineStr">
        <is>
          <t>Exit multiples to test</t>
        </is>
      </c>
      <c r="B54" s="34" t="n">
        <v>7</v>
      </c>
      <c r="C54" s="34" t="n">
        <v>7.5</v>
      </c>
      <c r="D54" s="34" t="n">
        <v>8</v>
      </c>
      <c r="E54" s="34" t="n">
        <v>8.5</v>
      </c>
      <c r="F54" s="34" t="n">
        <v>9</v>
      </c>
      <c r="G54" s="34" t="n">
        <v>9.300000000000001</v>
      </c>
      <c r="H54" s="34" t="n">
        <v>10</v>
      </c>
    </row>
    <row r="55">
      <c r="A55" t="inlineStr">
        <is>
          <t>Discount rates to test (value-driver grid)</t>
        </is>
      </c>
      <c r="B55" s="14" t="n">
        <v>0.08</v>
      </c>
      <c r="C55" s="14" t="n">
        <v>0.09</v>
      </c>
      <c r="D55" s="14" t="n">
        <v>0.1</v>
      </c>
    </row>
    <row r="56">
      <c r="A56" t="inlineStr">
        <is>
          <t>Total growth rates to test (value-driver grid)</t>
        </is>
      </c>
      <c r="B56" s="14" t="n">
        <v>0.015</v>
      </c>
      <c r="C56" s="14" t="n">
        <v>0.02</v>
      </c>
      <c r="D56" s="14" t="n">
        <v>0.025</v>
      </c>
      <c r="E56" s="14" t="n">
        <v>0.03</v>
      </c>
    </row>
    <row r="58">
      <c r="A58" s="5" t="inlineStr">
        <is>
          <t>CALCULATIONS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7" t="inlineStr">
        <is>
          <t>2.8 FY2031E terminal-year inputs (linked from sheet 1)</t>
        </is>
      </c>
      <c r="B59" s="8" t="inlineStr">
        <is>
          <t>Bear</t>
        </is>
      </c>
      <c r="C59" s="8" t="inlineStr">
        <is>
          <t>Base</t>
        </is>
      </c>
      <c r="D59" s="8" t="inlineStr">
        <is>
          <t>No growth</t>
        </is>
      </c>
      <c r="E59" s="8" t="inlineStr">
        <is>
          <t>Bull</t>
        </is>
      </c>
      <c r="F59" s="8" t="inlineStr">
        <is>
          <t>Weighted</t>
        </is>
      </c>
      <c r="G59" s="7" t="n"/>
      <c r="H59" s="7" t="n"/>
      <c r="I59" s="7" t="n"/>
      <c r="J59" s="7" t="n"/>
      <c r="K59" s="7" t="n"/>
      <c r="L59" s="7" t="inlineStr">
        <is>
          <t>Source / explanation</t>
        </is>
      </c>
    </row>
    <row r="60">
      <c r="A60" t="inlineStr">
        <is>
          <t>FY2031E total sales</t>
        </is>
      </c>
      <c r="B60" s="18">
        <f>'1 Earnings'!K322</f>
        <v/>
      </c>
      <c r="C60" s="18">
        <f>'1 Earnings'!K416</f>
        <v/>
      </c>
      <c r="D60" s="18">
        <f>'1 Earnings'!K604</f>
        <v/>
      </c>
      <c r="E60" s="18">
        <f>'1 Earnings'!K510</f>
        <v/>
      </c>
    </row>
    <row r="61">
      <c r="A61" t="inlineStr">
        <is>
          <t>FY2031E EBITDA after rent</t>
        </is>
      </c>
      <c r="B61" s="18">
        <f>'1 Earnings'!K324</f>
        <v/>
      </c>
      <c r="C61" s="18">
        <f>'1 Earnings'!K418</f>
        <v/>
      </c>
      <c r="D61" s="18">
        <f>'1 Earnings'!K606</f>
        <v/>
      </c>
      <c r="E61" s="18">
        <f>'1 Earnings'!K512</f>
        <v/>
      </c>
    </row>
    <row r="62">
      <c r="A62" t="inlineStr">
        <is>
          <t xml:space="preserve">  of which new locations</t>
        </is>
      </c>
      <c r="B62" s="18">
        <f>'1 Earnings'!K317</f>
        <v/>
      </c>
      <c r="C62" s="18">
        <f>'1 Earnings'!K411</f>
        <v/>
      </c>
      <c r="D62" s="18">
        <f>'1 Earnings'!K599</f>
        <v/>
      </c>
      <c r="E62" s="18">
        <f>'1 Earnings'!K505</f>
        <v/>
      </c>
    </row>
    <row r="63">
      <c r="A63" t="inlineStr">
        <is>
          <t>New-location run-rate EBITDA after rent</t>
        </is>
      </c>
      <c r="B63" s="18">
        <f>'1 Earnings'!K319</f>
        <v/>
      </c>
      <c r="C63" s="18">
        <f>'1 Earnings'!K413</f>
        <v/>
      </c>
      <c r="D63" s="18">
        <f>'1 Earnings'!K601</f>
        <v/>
      </c>
      <c r="E63" s="18">
        <f>'1 Earnings'!K507</f>
        <v/>
      </c>
    </row>
    <row r="64">
      <c r="A64" t="inlineStr">
        <is>
          <t>FY2031E Owners' Earnings</t>
        </is>
      </c>
      <c r="B64" s="18">
        <f>'1 Earnings'!K329</f>
        <v/>
      </c>
      <c r="C64" s="18">
        <f>'1 Earnings'!K423</f>
        <v/>
      </c>
      <c r="D64" s="18">
        <f>'1 Earnings'!K611</f>
        <v/>
      </c>
      <c r="E64" s="18">
        <f>'1 Earnings'!K517</f>
        <v/>
      </c>
    </row>
    <row r="65">
      <c r="A65" t="inlineStr">
        <is>
          <t>FY2031E existing-business margin</t>
        </is>
      </c>
      <c r="B65" s="19">
        <f>'1 Earnings'!K262</f>
        <v/>
      </c>
      <c r="C65" s="19">
        <f>'1 Earnings'!K356</f>
        <v/>
      </c>
      <c r="D65" s="19">
        <f>'1 Earnings'!K544</f>
        <v/>
      </c>
      <c r="E65" s="19">
        <f>'1 Earnings'!K450</f>
        <v/>
      </c>
    </row>
    <row r="66">
      <c r="A66" t="inlineStr">
        <is>
          <t>FY2031E existing-business sales</t>
        </is>
      </c>
      <c r="B66" s="18">
        <f>'1 Earnings'!K256</f>
        <v/>
      </c>
      <c r="C66" s="18">
        <f>'1 Earnings'!K350</f>
        <v/>
      </c>
      <c r="D66" s="18">
        <f>'1 Earnings'!K538</f>
        <v/>
      </c>
      <c r="E66" s="18">
        <f>'1 Earnings'!K444</f>
        <v/>
      </c>
    </row>
    <row r="68">
      <c r="A68" s="7" t="inlineStr">
        <is>
          <t>2.9 Terminal value at end-2031 (undiscounted)</t>
        </is>
      </c>
      <c r="B68" s="8" t="inlineStr">
        <is>
          <t>Bear</t>
        </is>
      </c>
      <c r="C68" s="8" t="inlineStr">
        <is>
          <t>Base</t>
        </is>
      </c>
      <c r="D68" s="8" t="inlineStr">
        <is>
          <t>No growth</t>
        </is>
      </c>
      <c r="E68" s="8" t="inlineStr">
        <is>
          <t>Bull</t>
        </is>
      </c>
      <c r="F68" s="8" t="inlineStr">
        <is>
          <t>Weighted</t>
        </is>
      </c>
      <c r="G68" s="7" t="n"/>
      <c r="H68" s="7" t="n"/>
      <c r="I68" s="7" t="n"/>
      <c r="J68" s="7" t="n"/>
      <c r="K68" s="7" t="n"/>
      <c r="L68" s="7" t="inlineStr">
        <is>
          <t>Source / explanation</t>
        </is>
      </c>
    </row>
    <row r="69">
      <c r="A69" s="2" t="inlineStr">
        <is>
          <t>Weighted column = Bear/Base/Bull at the sheet 1 forecast weights (25/50/25); memo only. Sheet 3 applies its own case weights.</t>
        </is>
      </c>
    </row>
    <row r="70">
      <c r="A70" t="inlineStr">
        <is>
          <t>Ramp gap = run-rate less actual new-location EBITDA after rent</t>
        </is>
      </c>
      <c r="B70" s="24">
        <f>B63-B62</f>
        <v/>
      </c>
      <c r="C70" s="24">
        <f>C63-C62</f>
        <v/>
      </c>
      <c r="D70" s="24">
        <f>D63-D62</f>
        <v/>
      </c>
      <c r="E70" s="24">
        <f>E63-E62</f>
        <v/>
      </c>
      <c r="L70" s="10" t="inlineStr">
        <is>
          <t>Earnings already paid for (capex spent) but not yet earned in 2031</t>
        </is>
      </c>
    </row>
    <row r="71">
      <c r="A71" t="inlineStr">
        <is>
          <t>Multiple x FY2031E EBITDA after rent</t>
        </is>
      </c>
      <c r="B71" s="24">
        <f>B7*B61</f>
        <v/>
      </c>
      <c r="C71" s="24">
        <f>C7*C61</f>
        <v/>
      </c>
      <c r="D71" s="24">
        <f>D7*D61</f>
        <v/>
      </c>
      <c r="E71" s="24">
        <f>E7*E61</f>
        <v/>
      </c>
      <c r="F71" s="24">
        <f>$B$20*B71+$B$21*C71+$B$22*E71</f>
        <v/>
      </c>
    </row>
    <row r="72">
      <c r="A72" t="inlineStr">
        <is>
          <t>Plus: ramp uplift = multiple x ramp gap</t>
        </is>
      </c>
      <c r="B72" s="24">
        <f>B7*B70</f>
        <v/>
      </c>
      <c r="C72" s="24">
        <f>C7*C70</f>
        <v/>
      </c>
      <c r="D72" s="24">
        <f>D7*D70</f>
        <v/>
      </c>
      <c r="E72" s="24">
        <f>E7*E70</f>
        <v/>
      </c>
      <c r="F72" s="24">
        <f>$B$20*B72+$B$21*C72+$B$22*E72</f>
        <v/>
      </c>
      <c r="L72" s="10" t="inlineStr">
        <is>
          <t>No deduction for the 1-3 years before the gap is earned</t>
        </is>
      </c>
    </row>
    <row r="73">
      <c r="A73" s="20" t="inlineStr">
        <is>
          <t>Terminal value, end-2031</t>
        </is>
      </c>
      <c r="B73" s="25">
        <f>B71+B72</f>
        <v/>
      </c>
      <c r="C73" s="25">
        <f>C71+C72</f>
        <v/>
      </c>
      <c r="D73" s="25">
        <f>D71+D72</f>
        <v/>
      </c>
      <c r="E73" s="25">
        <f>E71+E72</f>
        <v/>
      </c>
      <c r="F73" s="25">
        <f>$B$20*B73+$B$21*C73+$B$22*E73</f>
        <v/>
      </c>
    </row>
    <row r="74">
      <c r="A74" t="inlineStr">
        <is>
          <t xml:space="preserve">  TV / FY2031E Owners' Earnings</t>
        </is>
      </c>
      <c r="B74" s="35">
        <f>B73/B64</f>
        <v/>
      </c>
      <c r="C74" s="35">
        <f>C73/C64</f>
        <v/>
      </c>
      <c r="D74" s="35">
        <f>D73/D64</f>
        <v/>
      </c>
      <c r="E74" s="35">
        <f>E73/E64</f>
        <v/>
      </c>
      <c r="F74" s="35">
        <f>F73/($B$20*B64+$B$21*C64+$B$22*E64)</f>
        <v/>
      </c>
    </row>
    <row r="75">
      <c r="A75" t="inlineStr">
        <is>
          <t xml:space="preserve">  Effective multiple on EBITDA after rent</t>
        </is>
      </c>
      <c r="B75" s="35">
        <f>B71/B61</f>
        <v/>
      </c>
      <c r="C75" s="35">
        <f>C71/C61</f>
        <v/>
      </c>
      <c r="D75" s="35">
        <f>D71/D61</f>
        <v/>
      </c>
      <c r="E75" s="35">
        <f>E71/E61</f>
        <v/>
      </c>
      <c r="F75" s="35">
        <f>F71/($B$20*B61+$B$21*C61+$B$22*E61)</f>
        <v/>
      </c>
    </row>
    <row r="77">
      <c r="A77" s="7" t="inlineStr">
        <is>
          <t>2.10 Base and no-growth TV sensitivity to the exit multiple</t>
        </is>
      </c>
      <c r="B77" s="8" t="inlineStr">
        <is>
          <t>Multiple</t>
        </is>
      </c>
      <c r="C77" s="8" t="inlineStr">
        <is>
          <t>Base TV</t>
        </is>
      </c>
      <c r="D77" s="8" t="inlineStr">
        <is>
          <t>No growth TV</t>
        </is>
      </c>
      <c r="E77" s="7" t="n"/>
      <c r="F77" s="7" t="n"/>
      <c r="G77" s="7" t="n"/>
      <c r="H77" s="7" t="n"/>
      <c r="I77" s="7" t="n"/>
      <c r="J77" s="7" t="n"/>
      <c r="K77" s="7" t="n"/>
      <c r="L77" s="7" t="inlineStr">
        <is>
          <t>Source / explanation</t>
        </is>
      </c>
    </row>
    <row r="78">
      <c r="A78" t="inlineStr">
        <is>
          <t xml:space="preserve">  TV at multiple</t>
        </is>
      </c>
      <c r="B78" s="36">
        <f>$B$54</f>
        <v/>
      </c>
      <c r="C78" s="24">
        <f>$B$54*($C$61+$C$70)</f>
        <v/>
      </c>
      <c r="D78" s="24">
        <f>$B$54*($D$61+$D$70)</f>
        <v/>
      </c>
    </row>
    <row r="79">
      <c r="A79" t="inlineStr">
        <is>
          <t xml:space="preserve">  TV at multiple</t>
        </is>
      </c>
      <c r="B79" s="36">
        <f>$C$54</f>
        <v/>
      </c>
      <c r="C79" s="24">
        <f>$C$54*($C$61+$C$70)</f>
        <v/>
      </c>
      <c r="D79" s="24">
        <f>$C$54*($D$61+$D$70)</f>
        <v/>
      </c>
    </row>
    <row r="80">
      <c r="A80" t="inlineStr">
        <is>
          <t xml:space="preserve">  TV at multiple</t>
        </is>
      </c>
      <c r="B80" s="36">
        <f>$D$54</f>
        <v/>
      </c>
      <c r="C80" s="24">
        <f>$D$54*($C$61+$C$70)</f>
        <v/>
      </c>
      <c r="D80" s="24">
        <f>$D$54*($D$61+$D$70)</f>
        <v/>
      </c>
    </row>
    <row r="81">
      <c r="A81" t="inlineStr">
        <is>
          <t xml:space="preserve">  TV at multiple</t>
        </is>
      </c>
      <c r="B81" s="36">
        <f>$E$54</f>
        <v/>
      </c>
      <c r="C81" s="24">
        <f>$E$54*($C$61+$C$70)</f>
        <v/>
      </c>
      <c r="D81" s="24">
        <f>$E$54*($D$61+$D$70)</f>
        <v/>
      </c>
    </row>
    <row r="82">
      <c r="A82" t="inlineStr">
        <is>
          <t xml:space="preserve">  TV at multiple</t>
        </is>
      </c>
      <c r="B82" s="36">
        <f>$F$54</f>
        <v/>
      </c>
      <c r="C82" s="24">
        <f>$F$54*($C$61+$C$70)</f>
        <v/>
      </c>
      <c r="D82" s="24">
        <f>$F$54*($D$61+$D$70)</f>
        <v/>
      </c>
    </row>
    <row r="83">
      <c r="A83" t="inlineStr">
        <is>
          <t xml:space="preserve">  TV at multiple</t>
        </is>
      </c>
      <c r="B83" s="36">
        <f>$G$54</f>
        <v/>
      </c>
      <c r="C83" s="24">
        <f>$G$54*($C$61+$C$70)</f>
        <v/>
      </c>
      <c r="D83" s="24">
        <f>$G$54*($D$61+$D$70)</f>
        <v/>
      </c>
    </row>
    <row r="84">
      <c r="A84" t="inlineStr">
        <is>
          <t xml:space="preserve">  TV at multiple</t>
        </is>
      </c>
      <c r="B84" s="36">
        <f>$H$54</f>
        <v/>
      </c>
      <c r="C84" s="24">
        <f>$H$54*($C$61+$C$70)</f>
        <v/>
      </c>
      <c r="D84" s="24">
        <f>$H$54*($D$61+$D$70)</f>
        <v/>
      </c>
    </row>
    <row r="86">
      <c r="A86" s="7" t="inlineStr">
        <is>
          <t>2.11 What the 2026-31 growth programme is worth at end-2031 (Base vs No growth)</t>
        </is>
      </c>
      <c r="B86" s="8" t="inlineStr">
        <is>
          <t>2026</t>
        </is>
      </c>
      <c r="C86" s="8" t="inlineStr">
        <is>
          <t>2027</t>
        </is>
      </c>
      <c r="D86" s="8" t="inlineStr">
        <is>
          <t>2028</t>
        </is>
      </c>
      <c r="E86" s="8" t="inlineStr">
        <is>
          <t>2029</t>
        </is>
      </c>
      <c r="F86" s="8" t="inlineStr">
        <is>
          <t>2030</t>
        </is>
      </c>
      <c r="G86" s="8" t="inlineStr">
        <is>
          <t>2031</t>
        </is>
      </c>
      <c r="H86" s="8" t="inlineStr">
        <is>
          <t>Total</t>
        </is>
      </c>
      <c r="I86" s="7" t="n"/>
      <c r="J86" s="7" t="n"/>
      <c r="K86" s="7" t="n"/>
      <c r="L86" s="7" t="inlineStr">
        <is>
          <t>Source / explanation</t>
        </is>
      </c>
    </row>
    <row r="87">
      <c r="A87" t="inlineStr">
        <is>
          <t>Year</t>
        </is>
      </c>
      <c r="B87" s="31">
        <f>'1 Earnings'!F342</f>
        <v/>
      </c>
      <c r="C87" s="31">
        <f>'1 Earnings'!G342</f>
        <v/>
      </c>
      <c r="D87" s="31">
        <f>'1 Earnings'!H342</f>
        <v/>
      </c>
      <c r="E87" s="31">
        <f>'1 Earnings'!I342</f>
        <v/>
      </c>
      <c r="F87" s="31">
        <f>'1 Earnings'!J342</f>
        <v/>
      </c>
      <c r="G87" s="31">
        <f>'1 Earnings'!K342</f>
        <v/>
      </c>
    </row>
    <row r="88">
      <c r="A88" t="inlineStr">
        <is>
          <t>Base distributable cash</t>
        </is>
      </c>
      <c r="B88" s="18">
        <f>'1 Earnings'!F430</f>
        <v/>
      </c>
      <c r="C88" s="18">
        <f>'1 Earnings'!G430</f>
        <v/>
      </c>
      <c r="D88" s="18">
        <f>'1 Earnings'!H430</f>
        <v/>
      </c>
      <c r="E88" s="18">
        <f>'1 Earnings'!I430</f>
        <v/>
      </c>
      <c r="F88" s="18">
        <f>'1 Earnings'!J430</f>
        <v/>
      </c>
      <c r="G88" s="18">
        <f>'1 Earnings'!K430</f>
        <v/>
      </c>
      <c r="H88" s="24">
        <f>SUM(B88:G88)</f>
        <v/>
      </c>
    </row>
    <row r="89">
      <c r="A89" t="inlineStr">
        <is>
          <t>No-growth distributable cash</t>
        </is>
      </c>
      <c r="B89" s="18">
        <f>'1 Earnings'!F618</f>
        <v/>
      </c>
      <c r="C89" s="18">
        <f>'1 Earnings'!G618</f>
        <v/>
      </c>
      <c r="D89" s="18">
        <f>'1 Earnings'!H618</f>
        <v/>
      </c>
      <c r="E89" s="18">
        <f>'1 Earnings'!I618</f>
        <v/>
      </c>
      <c r="F89" s="18">
        <f>'1 Earnings'!J618</f>
        <v/>
      </c>
      <c r="G89" s="18">
        <f>'1 Earnings'!K618</f>
        <v/>
      </c>
      <c r="H89" s="24">
        <f>SUM(B89:G89)</f>
        <v/>
      </c>
    </row>
    <row r="90">
      <c r="A90" t="inlineStr">
        <is>
          <t>Difference (Base less No growth)</t>
        </is>
      </c>
      <c r="B90" s="24">
        <f>B88-B89</f>
        <v/>
      </c>
      <c r="C90" s="24">
        <f>C88-C89</f>
        <v/>
      </c>
      <c r="D90" s="24">
        <f>D88-D89</f>
        <v/>
      </c>
      <c r="E90" s="24">
        <f>E88-E89</f>
        <v/>
      </c>
      <c r="F90" s="24">
        <f>F88-F89</f>
        <v/>
      </c>
      <c r="G90" s="24">
        <f>G88-G89</f>
        <v/>
      </c>
      <c r="H90" s="24">
        <f>SUM(B90:G90)</f>
        <v/>
      </c>
    </row>
    <row r="91">
      <c r="A91" t="inlineStr">
        <is>
          <t>Compounding factor to end-2031 at cross-check rate</t>
        </is>
      </c>
      <c r="B91" s="29">
        <f>(1+$B$18)^($G$87-B87)</f>
        <v/>
      </c>
      <c r="C91" s="29">
        <f>(1+$B$18)^($G$87-C87)</f>
        <v/>
      </c>
      <c r="D91" s="29">
        <f>(1+$B$18)^($G$87-D87)</f>
        <v/>
      </c>
      <c r="E91" s="29">
        <f>(1+$B$18)^($G$87-E87)</f>
        <v/>
      </c>
      <c r="F91" s="29">
        <f>(1+$B$18)^($G$87-F87)</f>
        <v/>
      </c>
      <c r="G91" s="29">
        <f>(1+$B$18)^($G$87-G87)</f>
        <v/>
      </c>
    </row>
    <row r="92">
      <c r="A92" t="inlineStr">
        <is>
          <t>Difference compounded to end-2031</t>
        </is>
      </c>
      <c r="H92" s="24">
        <f>SUMPRODUCT(B90:G90,B91:G91)</f>
        <v/>
      </c>
    </row>
    <row r="93">
      <c r="A93" t="inlineStr">
        <is>
          <t>Extra terminal value from 2026-31 locations</t>
        </is>
      </c>
      <c r="H93" s="24">
        <f>C73-D73</f>
        <v/>
      </c>
    </row>
    <row r="94">
      <c r="A94" s="20" t="inlineStr">
        <is>
          <t>Net value of the growth programme at end-2031</t>
        </is>
      </c>
      <c r="H94" s="25">
        <f>H93+H92</f>
        <v/>
      </c>
      <c r="L94" s="10" t="inlineStr">
        <is>
          <t>Close to nil: growth capex ~value-neutral</t>
        </is>
      </c>
    </row>
    <row r="96">
      <c r="A96" s="7" t="inlineStr">
        <is>
          <t>2.12 Cross-check: value-driver formula on Owners' Earnings</t>
        </is>
      </c>
      <c r="B96" s="8" t="inlineStr">
        <is>
          <t>Bear</t>
        </is>
      </c>
      <c r="C96" s="8" t="inlineStr">
        <is>
          <t>Base</t>
        </is>
      </c>
      <c r="D96" s="8" t="inlineStr">
        <is>
          <t>No growth</t>
        </is>
      </c>
      <c r="E96" s="8" t="inlineStr">
        <is>
          <t>Bull</t>
        </is>
      </c>
      <c r="F96" s="7" t="n"/>
      <c r="G96" s="7" t="n"/>
      <c r="H96" s="7" t="n"/>
      <c r="I96" s="7" t="n"/>
      <c r="J96" s="7" t="n"/>
      <c r="K96" s="7" t="n"/>
      <c r="L96" s="7" t="inlineStr">
        <is>
          <t>Source / explanation</t>
        </is>
      </c>
    </row>
    <row r="97">
      <c r="A97" t="inlineStr">
        <is>
          <t>Total steady-state growth g</t>
        </is>
      </c>
      <c r="B97" s="26">
        <f>B10+B11</f>
        <v/>
      </c>
      <c r="C97" s="26">
        <f>C10+C11</f>
        <v/>
      </c>
      <c r="D97" s="26">
        <f>D10+D11</f>
        <v/>
      </c>
      <c r="E97" s="26">
        <f>E10+E11</f>
        <v/>
      </c>
    </row>
    <row r="98">
      <c r="A98" t="inlineStr">
        <is>
          <t>Reinvestment rate = share growth / OE yield</t>
        </is>
      </c>
      <c r="B98" s="26">
        <f>B11/B12</f>
        <v/>
      </c>
      <c r="C98" s="26">
        <f>C11/C12</f>
        <v/>
      </c>
      <c r="D98" s="26">
        <f>D11/D12</f>
        <v/>
      </c>
      <c r="E98" s="26">
        <f>E11/E12</f>
        <v/>
      </c>
    </row>
    <row r="99">
      <c r="A99" t="inlineStr">
        <is>
          <t>Fundamental TV/OE at cross-check rate = (1+g)(1-reinv)/(r-g)</t>
        </is>
      </c>
      <c r="B99" s="35">
        <f>(1+B97)*(1-B98)/($B$18-B97)</f>
        <v/>
      </c>
      <c r="C99" s="35">
        <f>(1+C97)*(1-C98)/($B$18-C97)</f>
        <v/>
      </c>
      <c r="D99" s="35">
        <f>(1+D97)*(1-D98)/($B$18-D97)</f>
        <v/>
      </c>
      <c r="E99" s="35">
        <f>(1+E97)*(1-E98)/($B$18-E97)</f>
        <v/>
      </c>
    </row>
    <row r="100">
      <c r="A100" t="inlineStr">
        <is>
          <t>Chosen TV / OE (from 2.9)</t>
        </is>
      </c>
      <c r="B100" s="35">
        <f>B74</f>
        <v/>
      </c>
      <c r="C100" s="35">
        <f>C74</f>
        <v/>
      </c>
      <c r="D100" s="35">
        <f>D74</f>
        <v/>
      </c>
      <c r="E100" s="35">
        <f>E74</f>
        <v/>
      </c>
    </row>
    <row r="101">
      <c r="A101" t="inlineStr">
        <is>
          <t>Discount rate implied by the chosen TV</t>
        </is>
      </c>
      <c r="B101" s="27">
        <f>B97+(1+B97)*(1-B98)/B100</f>
        <v/>
      </c>
      <c r="C101" s="27">
        <f>C97+(1+C97)*(1-C98)/C100</f>
        <v/>
      </c>
      <c r="D101" s="27">
        <f>D97+(1+D97)*(1-D98)/D100</f>
        <v/>
      </c>
      <c r="E101" s="27">
        <f>E97+(1+E97)*(1-E98)/E100</f>
        <v/>
      </c>
      <c r="L101" s="10" t="inlineStr">
        <is>
          <t>Chosen deal multiples imply ~8-9% returns</t>
        </is>
      </c>
    </row>
    <row r="103">
      <c r="A103" s="7" t="inlineStr">
        <is>
          <t>2.13 Base value-driver TV/OE grid (rows = discount rate, columns = total growth)</t>
        </is>
      </c>
      <c r="B103" s="8" t="inlineStr"/>
      <c r="C103" s="8" t="inlineStr"/>
      <c r="D103" s="8" t="inlineStr"/>
      <c r="E103" s="8" t="inlineStr"/>
      <c r="F103" s="7" t="n"/>
      <c r="G103" s="7" t="n"/>
      <c r="H103" s="7" t="n"/>
      <c r="I103" s="7" t="n"/>
      <c r="J103" s="7" t="n"/>
      <c r="K103" s="7" t="n"/>
      <c r="L103" s="7" t="n"/>
    </row>
    <row r="104">
      <c r="A104" t="inlineStr">
        <is>
          <t>Total growth g</t>
        </is>
      </c>
      <c r="B104" s="19">
        <f>B56</f>
        <v/>
      </c>
      <c r="C104" s="19">
        <f>C56</f>
        <v/>
      </c>
      <c r="D104" s="19">
        <f>D56</f>
        <v/>
      </c>
      <c r="E104" s="19">
        <f>E56</f>
        <v/>
      </c>
    </row>
    <row r="105">
      <c r="A105" t="inlineStr">
        <is>
          <t xml:space="preserve">  TV/OE at discount rate 8% (row input 2.7 col B)</t>
        </is>
      </c>
      <c r="B105" s="35">
        <f>(1+$B$104)*(1-$C$11/$C$12)/($B$55-$B$104)</f>
        <v/>
      </c>
      <c r="C105" s="35">
        <f>(1+$C$104)*(1-$C$11/$C$12)/($B$55-$C$104)</f>
        <v/>
      </c>
      <c r="D105" s="35">
        <f>(1+$D$104)*(1-$C$11/$C$12)/($B$55-$D$104)</f>
        <v/>
      </c>
      <c r="E105" s="35">
        <f>(1+$E$104)*(1-$C$11/$C$12)/($B$55-$E$104)</f>
        <v/>
      </c>
    </row>
    <row r="106">
      <c r="A106" t="inlineStr">
        <is>
          <t xml:space="preserve">  TV/OE at discount rate 9% (row input 2.7 col C)</t>
        </is>
      </c>
      <c r="B106" s="35">
        <f>(1+$B$104)*(1-$C$11/$C$12)/($C$55-$B$104)</f>
        <v/>
      </c>
      <c r="C106" s="35">
        <f>(1+$C$104)*(1-$C$11/$C$12)/($C$55-$C$104)</f>
        <v/>
      </c>
      <c r="D106" s="35">
        <f>(1+$D$104)*(1-$C$11/$C$12)/($C$55-$D$104)</f>
        <v/>
      </c>
      <c r="E106" s="35">
        <f>(1+$E$104)*(1-$C$11/$C$12)/($C$55-$E$104)</f>
        <v/>
      </c>
    </row>
    <row r="107">
      <c r="A107" t="inlineStr">
        <is>
          <t xml:space="preserve">  TV/OE at discount rate 10% (row input 2.7 col D)</t>
        </is>
      </c>
      <c r="B107" s="35">
        <f>(1+$B$104)*(1-$C$11/$C$12)/($D$55-$B$104)</f>
        <v/>
      </c>
      <c r="C107" s="35">
        <f>(1+$C$104)*(1-$C$11/$C$12)/($D$55-$C$104)</f>
        <v/>
      </c>
      <c r="D107" s="35">
        <f>(1+$D$104)*(1-$C$11/$C$12)/($D$55-$D$104)</f>
        <v/>
      </c>
      <c r="E107" s="35">
        <f>(1+$E$104)*(1-$C$11/$C$12)/($D$55-$E$104)</f>
        <v/>
      </c>
    </row>
    <row r="109">
      <c r="A109" s="7" t="inlineStr">
        <is>
          <t>2.14 Other cross-checks</t>
        </is>
      </c>
      <c r="B109" s="8" t="inlineStr">
        <is>
          <t>Value</t>
        </is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inlineStr">
        <is>
          <t>Source / explanation</t>
        </is>
      </c>
    </row>
    <row r="110">
      <c r="A110" t="inlineStr">
        <is>
          <t>Impairment-test cash-flow multiple at WACC high</t>
        </is>
      </c>
      <c r="B110" s="35">
        <f>(1+B15)/(B17-B15)</f>
        <v/>
      </c>
    </row>
    <row r="111">
      <c r="A111" t="inlineStr">
        <is>
          <t>Impairment-test cash-flow multiple at WACC low</t>
        </is>
      </c>
      <c r="B111" s="35">
        <f>(1+B15)/(B16-B15)</f>
        <v/>
      </c>
    </row>
    <row r="112">
      <c r="A112" t="inlineStr">
        <is>
          <t>Base: EBITDA lost if existing margin normalized to target</t>
        </is>
      </c>
      <c r="B112" s="24">
        <f>(C65-B19)*C66</f>
        <v/>
      </c>
    </row>
    <row r="113">
      <c r="A113" t="inlineStr">
        <is>
          <t>Base: TV lower by</t>
        </is>
      </c>
      <c r="B113" s="24">
        <f>C7*B112</f>
        <v/>
      </c>
    </row>
    <row r="114">
      <c r="A114" t="inlineStr">
        <is>
          <t>Joe Hudson's: net price (price less tax benefits)</t>
        </is>
      </c>
      <c r="B114" s="24">
        <f>B37-B38</f>
        <v/>
      </c>
    </row>
    <row r="115">
      <c r="A115" t="inlineStr">
        <is>
          <t>Joe Hudson's: implied run-rate EBITDA after rent</t>
        </is>
      </c>
      <c r="B115" s="24">
        <f>B114/B41</f>
        <v/>
      </c>
    </row>
    <row r="116">
      <c r="A116" t="inlineStr">
        <is>
          <t>Joe Hudson's: implied synergies</t>
        </is>
      </c>
      <c r="B116" s="24">
        <f>B114/B42-B115</f>
        <v/>
      </c>
      <c r="L116" s="10" t="inlineStr">
        <is>
          <t>Compare with disclosed 35-45</t>
        </is>
      </c>
    </row>
    <row r="117">
      <c r="A117" t="inlineStr">
        <is>
          <t>Joe Hudson's: multiple on raw TTM EBITDA after rent</t>
        </is>
      </c>
      <c r="B117" s="35">
        <f>B114/B39</f>
        <v/>
      </c>
    </row>
    <row r="118">
      <c r="A118" t="inlineStr">
        <is>
          <t>Joe Hudson's: max multiple if disclosed basis were pre-rent</t>
        </is>
      </c>
      <c r="B118" s="35">
        <f>B114/B40</f>
        <v/>
      </c>
      <c r="L118" s="10" t="inlineStr">
        <is>
          <t>Below 13.3x, so the disclosed multiple must be on after-rent EBITDA</t>
        </is>
      </c>
    </row>
    <row r="119">
      <c r="A119" t="inlineStr">
        <is>
          <t>AMA Group: EV (A$M)</t>
        </is>
      </c>
      <c r="B119" s="24">
        <f>B47+B48</f>
        <v/>
      </c>
    </row>
    <row r="120">
      <c r="A120" t="inlineStr">
        <is>
          <t>AMA Group: EV / FY26 EBITDA</t>
        </is>
      </c>
      <c r="B120" s="35">
        <f>B119/B49</f>
        <v/>
      </c>
    </row>
    <row r="121">
      <c r="A121" t="inlineStr">
        <is>
          <t>AMA Group: EV / FY27 guidance (high end of EBITDA)</t>
        </is>
      </c>
      <c r="B121" s="35">
        <f>B119/B51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90" customWidth="1" min="12" max="12"/>
  </cols>
  <sheetData>
    <row r="1">
      <c r="A1" s="1" t="inlineStr">
        <is>
          <t>Boyd Group Services (BYD.TO) - Sheet 3: Sum-of-the-parts valuation per share</t>
        </is>
      </c>
    </row>
    <row r="2">
      <c r="A2" s="2" t="inlineStr">
        <is>
          <t>US$ millions unless stated. Value = PV(2026-31 distributable cash) + PV(terminal value) + standalone assets - debt. Python source: valuation.py. Trading price not used.</t>
        </is>
      </c>
    </row>
    <row r="3">
      <c r="A3" s="3" t="inlineStr">
        <is>
          <t>Input (change me)</t>
        </is>
      </c>
      <c r="B3" s="4" t="inlineStr">
        <is>
          <t>Linked from elsewhere (do not overwrite)</t>
        </is>
      </c>
      <c r="F3" t="inlineStr">
        <is>
          <t>Black = formula</t>
        </is>
      </c>
    </row>
    <row r="5">
      <c r="A5" s="5" t="inlineStr">
        <is>
          <t>INPUTS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inlineStr">
        <is>
          <t>3.1 Valuation settings and case weights</t>
        </is>
      </c>
      <c r="B6" s="8" t="inlineStr">
        <is>
          <t>Value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inlineStr">
        <is>
          <t>Source / explanation</t>
        </is>
      </c>
    </row>
    <row r="7">
      <c r="A7" t="inlineStr">
        <is>
          <t>Discount rate</t>
        </is>
      </c>
      <c r="B7" s="14" t="n">
        <v>0.1</v>
      </c>
      <c r="L7" s="10" t="inlineStr">
        <is>
          <t>Task requirement (valuation.py ValuationSettings)</t>
        </is>
      </c>
    </row>
    <row r="8">
      <c r="A8" t="inlineStr">
        <is>
          <t>Valuation year (t = 0, not discounted)</t>
        </is>
      </c>
      <c r="B8" s="37" t="n">
        <v>2026</v>
      </c>
    </row>
    <row r="9">
      <c r="A9" t="inlineStr">
        <is>
          <t>Terminal year (TV sits at end of this year)</t>
        </is>
      </c>
      <c r="B9" s="37" t="n">
        <v>2031</v>
      </c>
    </row>
    <row r="10">
      <c r="A10" s="7" t="inlineStr">
        <is>
          <t>Case weights</t>
        </is>
      </c>
      <c r="B10" s="8" t="inlineStr">
        <is>
          <t>Bear</t>
        </is>
      </c>
      <c r="C10" s="8" t="inlineStr">
        <is>
          <t>Base</t>
        </is>
      </c>
      <c r="D10" s="8" t="inlineStr">
        <is>
          <t>No growth</t>
        </is>
      </c>
      <c r="E10" s="8" t="inlineStr">
        <is>
          <t>Bull</t>
        </is>
      </c>
      <c r="F10" s="7" t="n"/>
      <c r="G10" s="7" t="n"/>
      <c r="H10" s="7" t="n"/>
      <c r="I10" s="7" t="n"/>
      <c r="J10" s="7" t="n"/>
      <c r="K10" s="7" t="n"/>
      <c r="L10" s="7" t="inlineStr">
        <is>
          <t>Source / explanation</t>
        </is>
      </c>
    </row>
    <row r="11">
      <c r="A11" t="inlineStr">
        <is>
          <t>Weight in headline value</t>
        </is>
      </c>
      <c r="B11" s="14" t="n">
        <v>0.25</v>
      </c>
      <c r="C11" s="14" t="n">
        <v>0.25</v>
      </c>
      <c r="D11" s="14" t="n">
        <v>0.25</v>
      </c>
      <c r="E11" s="14" t="n">
        <v>0.25</v>
      </c>
      <c r="L11" s="10" t="inlineStr">
        <is>
          <t>No growth shares the base drivers, so takes half the base's 50% (valuation.md sec 1)</t>
        </is>
      </c>
    </row>
    <row r="13">
      <c r="A13" s="7" t="inlineStr">
        <is>
          <t>3.2 H1-2026 actuals (to strip realized cash out of FY2026E)</t>
        </is>
      </c>
      <c r="B13" s="8" t="inlineStr">
        <is>
          <t>Value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inlineStr">
        <is>
          <t>Source / explanation</t>
        </is>
      </c>
    </row>
    <row r="14">
      <c r="A14" t="inlineStr">
        <is>
          <t>H1-2026 Adjusted EBITDA</t>
        </is>
      </c>
      <c r="B14" s="18">
        <f>'1 Earnings'!F12</f>
        <v/>
      </c>
      <c r="L14" s="10" t="inlineStr">
        <is>
          <t>Linked to sheet 1</t>
        </is>
      </c>
    </row>
    <row r="15">
      <c r="A15" t="inlineStr">
        <is>
          <t>H1-2026 cash rent</t>
        </is>
      </c>
      <c r="B15" s="18">
        <f>'1 Earnings'!F13+'1 Earnings'!F14+'1 Earnings'!F15+'1 Earnings'!F16</f>
        <v/>
      </c>
      <c r="L15" s="10" t="inlineStr">
        <is>
          <t>Linked to sheet 1</t>
        </is>
      </c>
    </row>
    <row r="16">
      <c r="A16" t="inlineStr">
        <is>
          <t>H1-2026 net growth spend (acquisitions &amp; development less sale-leasebacks, ex-JH)</t>
        </is>
      </c>
      <c r="B16" s="13" t="n">
        <v>32.9</v>
      </c>
      <c r="L16" s="10" t="inlineStr">
        <is>
          <t>forecast_earnings.md sec 6.1a, H1-2026 row</t>
        </is>
      </c>
    </row>
    <row r="18">
      <c r="A18" s="7" t="inlineStr">
        <is>
          <t>3.3 Balance sheet at Jun-30-2026 (Q2FY26 FS)</t>
        </is>
      </c>
      <c r="B18" s="8" t="inlineStr">
        <is>
          <t>Value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inlineStr">
        <is>
          <t>Source / explanation</t>
        </is>
      </c>
    </row>
    <row r="19">
      <c r="A19" t="inlineStr">
        <is>
          <t>Cash</t>
        </is>
      </c>
      <c r="B19" s="9" t="n">
        <v>22.969</v>
      </c>
      <c r="L19" s="10" t="inlineStr">
        <is>
          <t>Balance sheet</t>
        </is>
      </c>
    </row>
    <row r="20">
      <c r="A20" t="inlineStr">
        <is>
          <t>Operating cash requirement</t>
        </is>
      </c>
      <c r="B20" s="13" t="n">
        <v>25</v>
      </c>
      <c r="L20" s="10" t="inlineStr">
        <is>
          <t>owners_earnings_and_roic.md sec 4: cash capped at $25M as operating</t>
        </is>
      </c>
    </row>
    <row r="21">
      <c r="A21" t="inlineStr">
        <is>
          <t>Revolver + swing line (net of financing costs)</t>
        </is>
      </c>
      <c r="B21" s="9" t="n">
        <v>285.253</v>
      </c>
      <c r="L21" s="10" t="inlineStr">
        <is>
          <t>Note 11</t>
        </is>
      </c>
    </row>
    <row r="22">
      <c r="A22" t="inlineStr">
        <is>
          <t>Term Loan A (net of financing costs)</t>
        </is>
      </c>
      <c r="B22" s="9" t="n">
        <v>124.963</v>
      </c>
      <c r="L22" s="10" t="inlineStr">
        <is>
          <t>Note 11</t>
        </is>
      </c>
    </row>
    <row r="23">
      <c r="A23" t="inlineStr">
        <is>
          <t>Seller notes (deferred acquisition consideration)</t>
        </is>
      </c>
      <c r="B23" s="9" t="n">
        <v>8.606</v>
      </c>
      <c r="L23" s="10" t="inlineStr">
        <is>
          <t>Note 11</t>
        </is>
      </c>
    </row>
    <row r="24">
      <c r="A24" t="inlineStr">
        <is>
          <t>Senior notes 2030, US$ (C$525M principal)</t>
        </is>
      </c>
      <c r="B24" s="9" t="n">
        <v>369.443</v>
      </c>
      <c r="L24" s="10" t="inlineStr">
        <is>
          <t>Note 12</t>
        </is>
      </c>
    </row>
    <row r="25">
      <c r="A25" t="inlineStr">
        <is>
          <t>Senior notes 2033, US$ (C$275M principal)</t>
        </is>
      </c>
      <c r="B25" s="9" t="n">
        <v>193.517</v>
      </c>
      <c r="L25" s="10" t="inlineStr">
        <is>
          <t>Note 12</t>
        </is>
      </c>
    </row>
    <row r="26">
      <c r="A26" t="inlineStr">
        <is>
          <t>Dividends payable</t>
        </is>
      </c>
      <c r="B26" s="9" t="n">
        <v>3.056</v>
      </c>
      <c r="L26" s="10" t="inlineStr">
        <is>
          <t>Balance sheet</t>
        </is>
      </c>
    </row>
    <row r="27">
      <c r="A27" t="inlineStr">
        <is>
          <t>Cross-currency swaps - asset</t>
        </is>
      </c>
      <c r="B27" s="9" t="n">
        <v>4.305</v>
      </c>
      <c r="L27" s="10" t="inlineStr">
        <is>
          <t>Balance sheet</t>
        </is>
      </c>
    </row>
    <row r="28">
      <c r="A28" t="inlineStr">
        <is>
          <t>Cross-currency swaps - liability</t>
        </is>
      </c>
      <c r="B28" s="9" t="n">
        <v>3.003</v>
      </c>
      <c r="L28" s="10" t="inlineStr">
        <is>
          <t>Balance sheet</t>
        </is>
      </c>
    </row>
    <row r="29">
      <c r="A29" t="inlineStr">
        <is>
          <t>Memo: lease liabilities, current (NOT deducted)</t>
        </is>
      </c>
      <c r="B29" s="9" t="n">
        <v>159.574</v>
      </c>
      <c r="L29" s="10" t="inlineStr">
        <is>
          <t>Rent is charged in full inside Owners' Earnings; deducting would double count</t>
        </is>
      </c>
    </row>
    <row r="30">
      <c r="A30" t="inlineStr">
        <is>
          <t>Memo: lease liabilities, non-current (NOT deducted)</t>
        </is>
      </c>
      <c r="B30" s="9" t="n">
        <v>891.311</v>
      </c>
    </row>
    <row r="31">
      <c r="A31" t="inlineStr">
        <is>
          <t>Memo: deferred tax liability (NOT deducted)</t>
        </is>
      </c>
      <c r="B31" s="9" t="n">
        <v>104.318</v>
      </c>
    </row>
    <row r="32">
      <c r="A32" t="inlineStr">
        <is>
          <t>Memo: deferred tax asset</t>
        </is>
      </c>
      <c r="B32" s="9" t="n">
        <v>10.051</v>
      </c>
    </row>
    <row r="34">
      <c r="A34" s="7" t="inlineStr">
        <is>
          <t>3.4 Goodwill &amp; intangible tax shields (value outside OE, which is taxed at full rate)</t>
        </is>
      </c>
      <c r="B34" s="8" t="inlineStr">
        <is>
          <t>Value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inlineStr">
        <is>
          <t>Source / explanation</t>
        </is>
      </c>
    </row>
    <row r="35">
      <c r="A35" t="inlineStr">
        <is>
          <t>Joe Hudson's tax benefits, Boyd's estimate</t>
        </is>
      </c>
      <c r="B35" s="18">
        <f>'2 Terminal Value'!B38</f>
        <v/>
      </c>
      <c r="L35" s="10" t="inlineStr">
        <is>
          <t>Linked to sheet 2 (JH release l.43)</t>
        </is>
      </c>
    </row>
    <row r="36">
      <c r="A36" t="inlineStr">
        <is>
          <t>Joe Hudson's goodwill (book)</t>
        </is>
      </c>
      <c r="B36" s="9" t="n">
        <v>521.76</v>
      </c>
      <c r="L36" s="10" t="inlineStr">
        <is>
          <t>Q2FY26 FS acquisition table l.249-258</t>
        </is>
      </c>
    </row>
    <row r="37">
      <c r="A37" t="inlineStr">
        <is>
          <t>Joe Hudson's customer relationships</t>
        </is>
      </c>
      <c r="B37" s="9" t="n">
        <v>700</v>
      </c>
      <c r="L37" s="10" t="inlineStr">
        <is>
          <t>Same table</t>
        </is>
      </c>
    </row>
    <row r="38">
      <c r="A38" t="inlineStr">
        <is>
          <t>Joe Hudson's brand</t>
        </is>
      </c>
      <c r="B38" s="9" t="n">
        <v>0.5</v>
      </c>
      <c r="L38" s="10" t="inlineStr">
        <is>
          <t>Same table</t>
        </is>
      </c>
    </row>
    <row r="39">
      <c r="A39" t="inlineStr">
        <is>
          <t>Joe Hudson's intellectual property</t>
        </is>
      </c>
      <c r="B39" s="9" t="n">
        <v>0.3</v>
      </c>
      <c r="L39" s="10" t="inlineStr">
        <is>
          <t>Same table</t>
        </is>
      </c>
    </row>
    <row r="40">
      <c r="A40" t="inlineStr">
        <is>
          <t>Legacy goodwill, Dec-2025</t>
        </is>
      </c>
      <c r="B40" s="9" t="n">
        <v>702.46</v>
      </c>
      <c r="L40" s="10" t="inlineStr">
        <is>
          <t>Q2FY26 FS l.28, Dec-25 column</t>
        </is>
      </c>
    </row>
    <row r="41">
      <c r="A41" t="inlineStr">
        <is>
          <t>Legacy intangibles (net), Dec-2025</t>
        </is>
      </c>
      <c r="B41" s="9" t="n">
        <v>356.347</v>
      </c>
      <c r="L41" s="10" t="inlineStr">
        <is>
          <t>Same</t>
        </is>
      </c>
    </row>
    <row r="42">
      <c r="A42" t="inlineStr">
        <is>
          <t>Other 2026 acquisitions: goodwill</t>
        </is>
      </c>
      <c r="B42" s="9" t="n">
        <v>7.208</v>
      </c>
      <c r="L42" s="10" t="inlineStr">
        <is>
          <t>Q2FY26 FS acquisition table, 'Other acquisitions'</t>
        </is>
      </c>
    </row>
    <row r="43">
      <c r="A43" t="inlineStr">
        <is>
          <t>Other 2026 acquisitions: customer relationships</t>
        </is>
      </c>
      <c r="B43" s="9" t="n">
        <v>5.496</v>
      </c>
      <c r="L43" s="10" t="inlineStr">
        <is>
          <t>Same</t>
        </is>
      </c>
    </row>
    <row r="44">
      <c r="A44" t="inlineStr">
        <is>
          <t>Other 2026 acquisitions: non-competes</t>
        </is>
      </c>
      <c r="B44" s="9" t="n">
        <v>0.245</v>
      </c>
      <c r="L44" s="10" t="inlineStr">
        <is>
          <t>Same</t>
        </is>
      </c>
    </row>
    <row r="45">
      <c r="A45" t="inlineStr">
        <is>
          <t>Cross-check: JH tax-deductible goodwill</t>
        </is>
      </c>
      <c r="B45" s="9" t="n">
        <v>366.291</v>
      </c>
      <c r="L45" s="10" t="inlineStr">
        <is>
          <t>Q2FY26 FS l.316</t>
        </is>
      </c>
    </row>
    <row r="46">
      <c r="A46" t="inlineStr">
        <is>
          <t>Cross-check: JH tax-deductible intangibles</t>
        </is>
      </c>
      <c r="B46" s="9" t="n">
        <v>602.5549999999999</v>
      </c>
      <c r="L46" s="10" t="inlineStr">
        <is>
          <t>Q2FY26 FS l.318</t>
        </is>
      </c>
    </row>
    <row r="47">
      <c r="A47" t="inlineStr">
        <is>
          <t>Cross-check: US tax amortization life (years)</t>
        </is>
      </c>
      <c r="B47" s="15" t="n">
        <v>15</v>
      </c>
      <c r="L47" s="10" t="inlineStr">
        <is>
          <t>From internal AI model knowledge: IRC s.197 15-year straight line</t>
        </is>
      </c>
    </row>
    <row r="48">
      <c r="A48" t="inlineStr">
        <is>
          <t>Cross-check: share of 2026 deduction still to come</t>
        </is>
      </c>
      <c r="B48" s="14" t="n">
        <v>0.5</v>
      </c>
      <c r="L48" s="10" t="inlineStr">
        <is>
          <t>H1-2026 benefit already inside Jun-26 cash</t>
        </is>
      </c>
    </row>
    <row r="49">
      <c r="A49" t="inlineStr">
        <is>
          <t>Tax rate</t>
        </is>
      </c>
      <c r="B49" s="19">
        <f>'1 Earnings'!B30</f>
        <v/>
      </c>
      <c r="L49" s="10" t="inlineStr">
        <is>
          <t>Linked to sheet 1</t>
        </is>
      </c>
    </row>
    <row r="51">
      <c r="A51" s="7" t="inlineStr">
        <is>
          <t>3.5 Share count and FX</t>
        </is>
      </c>
      <c r="B51" s="8" t="inlineStr">
        <is>
          <t>Value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inlineStr">
        <is>
          <t>Source / explanation</t>
        </is>
      </c>
    </row>
    <row r="52">
      <c r="A52" t="inlineStr">
        <is>
          <t>Basic shares outstanding, Jun-30-2026</t>
        </is>
      </c>
      <c r="B52" s="15" t="n">
        <v>27836435</v>
      </c>
      <c r="L52" s="10" t="inlineStr">
        <is>
          <t>Q2FY26 FS statement of changes in equity</t>
        </is>
      </c>
    </row>
    <row r="53">
      <c r="A53" t="inlineStr">
        <is>
          <t>Diluted weighted shares, Q2-2026</t>
        </is>
      </c>
      <c r="B53" s="15" t="n">
        <v>27898269</v>
      </c>
      <c r="L53" s="10" t="inlineStr">
        <is>
          <t>Q2FY26 FS l.129</t>
        </is>
      </c>
    </row>
    <row r="54">
      <c r="A54" t="inlineStr">
        <is>
          <t>Basic weighted shares, Q2-2026</t>
        </is>
      </c>
      <c r="B54" s="15" t="n">
        <v>27836295</v>
      </c>
      <c r="L54" s="10" t="inlineStr">
        <is>
          <t>Q2FY26 FS l.128</t>
        </is>
      </c>
    </row>
    <row r="55">
      <c r="A55" t="inlineStr">
        <is>
          <t>Share option plan cap</t>
        </is>
      </c>
      <c r="B55" s="15" t="n">
        <v>250000</v>
      </c>
      <c r="L55" s="10" t="inlineStr">
        <is>
          <t>FY2025 AFS l.459</t>
        </is>
      </c>
    </row>
    <row r="56">
      <c r="A56" t="inlineStr">
        <is>
          <t>C$ principal of senior notes (525 + 275)</t>
        </is>
      </c>
      <c r="B56" s="13" t="n">
        <v>800</v>
      </c>
      <c r="L56" s="10" t="inlineStr">
        <is>
          <t>FY2025 MD&amp;A l.25, l.35</t>
        </is>
      </c>
    </row>
    <row r="57">
      <c r="A57" t="inlineStr">
        <is>
          <t>US$ carrying principal of senior notes</t>
        </is>
      </c>
      <c r="B57" s="38">
        <f>B24+B25</f>
        <v/>
      </c>
      <c r="L57" s="10" t="inlineStr">
        <is>
          <t>Linked to 3.3</t>
        </is>
      </c>
    </row>
    <row r="59">
      <c r="A59" s="7" t="inlineStr">
        <is>
          <t>3.6 Sensitivity axes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7" t="n"/>
      <c r="I59" s="7" t="n"/>
      <c r="J59" s="7" t="n"/>
      <c r="K59" s="7" t="n"/>
      <c r="L59" s="7" t="n"/>
    </row>
    <row r="60">
      <c r="A60" t="inlineStr">
        <is>
          <t>Discount rates to test</t>
        </is>
      </c>
      <c r="B60" s="14" t="n">
        <v>0.08</v>
      </c>
      <c r="C60" s="14" t="n">
        <v>0.09</v>
      </c>
      <c r="D60" s="14" t="n">
        <v>0.1</v>
      </c>
      <c r="E60" s="14" t="n">
        <v>0.11</v>
      </c>
      <c r="F60" s="14" t="n">
        <v>0.12</v>
      </c>
    </row>
    <row r="61">
      <c r="A61" t="inlineStr">
        <is>
          <t>Exit multiple shifts to test (all cases)</t>
        </is>
      </c>
      <c r="B61" s="39" t="n">
        <v>-1.5</v>
      </c>
      <c r="C61" s="39" t="n">
        <v>-1</v>
      </c>
      <c r="D61" s="39" t="n">
        <v>-0.5</v>
      </c>
      <c r="E61" s="39" t="n">
        <v>0</v>
      </c>
      <c r="F61" s="39" t="n">
        <v>0.5</v>
      </c>
      <c r="G61" s="39" t="n">
        <v>1</v>
      </c>
    </row>
    <row r="63">
      <c r="A63" s="5" t="inlineStr">
        <is>
          <t>CALCULATIONS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7" t="inlineStr">
        <is>
          <t>3.7 Timeline and discount factors</t>
        </is>
      </c>
      <c r="B64" s="8" t="inlineStr">
        <is>
          <t>2026</t>
        </is>
      </c>
      <c r="C64" s="8" t="inlineStr">
        <is>
          <t>2027</t>
        </is>
      </c>
      <c r="D64" s="8" t="inlineStr">
        <is>
          <t>2028</t>
        </is>
      </c>
      <c r="E64" s="8" t="inlineStr">
        <is>
          <t>2029</t>
        </is>
      </c>
      <c r="F64" s="8" t="inlineStr">
        <is>
          <t>2030</t>
        </is>
      </c>
      <c r="G64" s="8" t="inlineStr">
        <is>
          <t>2031</t>
        </is>
      </c>
      <c r="H64" s="7" t="n"/>
      <c r="I64" s="7" t="n"/>
      <c r="J64" s="7" t="n"/>
      <c r="K64" s="7" t="n"/>
      <c r="L64" s="7" t="inlineStr">
        <is>
          <t>Source / explanation</t>
        </is>
      </c>
    </row>
    <row r="65">
      <c r="A65" t="inlineStr">
        <is>
          <t>Year</t>
        </is>
      </c>
      <c r="B65" s="28">
        <f>B8</f>
        <v/>
      </c>
      <c r="C65" s="28">
        <f>B65+1</f>
        <v/>
      </c>
      <c r="D65" s="28">
        <f>C65+1</f>
        <v/>
      </c>
      <c r="E65" s="28">
        <f>D65+1</f>
        <v/>
      </c>
      <c r="F65" s="28">
        <f>E65+1</f>
        <v/>
      </c>
      <c r="G65" s="28">
        <f>F65+1</f>
        <v/>
      </c>
    </row>
    <row r="66">
      <c r="A66" t="inlineStr">
        <is>
          <t>t (years from valuation year)</t>
        </is>
      </c>
      <c r="B66" s="32">
        <f>B65-$B$8</f>
        <v/>
      </c>
      <c r="C66" s="32">
        <f>C65-$B$8</f>
        <v/>
      </c>
      <c r="D66" s="32">
        <f>D65-$B$8</f>
        <v/>
      </c>
      <c r="E66" s="32">
        <f>E65-$B$8</f>
        <v/>
      </c>
      <c r="F66" s="32">
        <f>F65-$B$8</f>
        <v/>
      </c>
      <c r="G66" s="32">
        <f>G65-$B$8</f>
        <v/>
      </c>
    </row>
    <row r="67">
      <c r="A67" t="inlineStr">
        <is>
          <t>Discount factor</t>
        </is>
      </c>
      <c r="B67" s="40">
        <f>1/(1+$B$7)^B66</f>
        <v/>
      </c>
      <c r="C67" s="40">
        <f>1/(1+$B$7)^C66</f>
        <v/>
      </c>
      <c r="D67" s="40">
        <f>1/(1+$B$7)^D66</f>
        <v/>
      </c>
      <c r="E67" s="40">
        <f>1/(1+$B$7)^E66</f>
        <v/>
      </c>
      <c r="F67" s="40">
        <f>1/(1+$B$7)^F66</f>
        <v/>
      </c>
      <c r="G67" s="40">
        <f>1/(1+$B$7)^G66</f>
        <v/>
      </c>
    </row>
    <row r="68">
      <c r="A68" t="inlineStr">
        <is>
          <t>Discount factor at terminal year</t>
        </is>
      </c>
      <c r="B68" s="40">
        <f>1/(1+B7)^(B9-B8)</f>
        <v/>
      </c>
    </row>
    <row r="70">
      <c r="A70" s="7" t="inlineStr">
        <is>
          <t>3.8 FY2026 stub: only H2-2026 cash counts (H1 is inside Jun-26 net debt)</t>
        </is>
      </c>
      <c r="B70" s="8" t="inlineStr">
        <is>
          <t>Bear</t>
        </is>
      </c>
      <c r="C70" s="8" t="inlineStr">
        <is>
          <t>Base</t>
        </is>
      </c>
      <c r="D70" s="8" t="inlineStr">
        <is>
          <t>No growth</t>
        </is>
      </c>
      <c r="E70" s="8" t="inlineStr">
        <is>
          <t>Bull</t>
        </is>
      </c>
      <c r="F70" s="7" t="n"/>
      <c r="G70" s="7" t="n"/>
      <c r="H70" s="7" t="n"/>
      <c r="I70" s="7" t="n"/>
      <c r="J70" s="7" t="n"/>
      <c r="K70" s="7" t="n"/>
      <c r="L70" s="7" t="inlineStr">
        <is>
          <t>Source / explanation</t>
        </is>
      </c>
    </row>
    <row r="71">
      <c r="A71" t="inlineStr">
        <is>
          <t>FY2026E Owners' Earnings</t>
        </is>
      </c>
      <c r="B71" s="18">
        <f>'1 Earnings'!F329</f>
        <v/>
      </c>
      <c r="C71" s="18">
        <f>'1 Earnings'!F423</f>
        <v/>
      </c>
      <c r="D71" s="18">
        <f>'1 Earnings'!F611</f>
        <v/>
      </c>
      <c r="E71" s="18">
        <f>'1 Earnings'!F517</f>
        <v/>
      </c>
      <c r="L71" s="10" t="inlineStr">
        <is>
          <t>Linked to sheet 1</t>
        </is>
      </c>
    </row>
    <row r="72">
      <c r="A72" t="inlineStr">
        <is>
          <t>FY2026E EBITDA after rent</t>
        </is>
      </c>
      <c r="B72" s="18">
        <f>'1 Earnings'!F324</f>
        <v/>
      </c>
      <c r="C72" s="18">
        <f>'1 Earnings'!F418</f>
        <v/>
      </c>
      <c r="D72" s="18">
        <f>'1 Earnings'!F606</f>
        <v/>
      </c>
      <c r="E72" s="18">
        <f>'1 Earnings'!F512</f>
        <v/>
      </c>
    </row>
    <row r="73">
      <c r="A73" t="inlineStr">
        <is>
          <t>FY2026E growth capex</t>
        </is>
      </c>
      <c r="B73" s="18">
        <f>'1 Earnings'!F316</f>
        <v/>
      </c>
      <c r="C73" s="18">
        <f>'1 Earnings'!F410</f>
        <v/>
      </c>
      <c r="D73" s="18">
        <f>'1 Earnings'!F598</f>
        <v/>
      </c>
      <c r="E73" s="18">
        <f>'1 Earnings'!F504</f>
        <v/>
      </c>
    </row>
    <row r="74">
      <c r="A74" t="inlineStr">
        <is>
          <t>FY2026E one-offs (all Jul-2026 onward)</t>
        </is>
      </c>
      <c r="B74" s="18">
        <f>'1 Earnings'!F335</f>
        <v/>
      </c>
      <c r="C74" s="18">
        <f>'1 Earnings'!F429</f>
        <v/>
      </c>
      <c r="D74" s="18">
        <f>'1 Earnings'!F617</f>
        <v/>
      </c>
      <c r="E74" s="18">
        <f>'1 Earnings'!F523</f>
        <v/>
      </c>
    </row>
    <row r="75">
      <c r="A75" t="inlineStr">
        <is>
          <t>H2 share of FY2026E OE (proxy: H2 share of EBITDA after rent)</t>
        </is>
      </c>
      <c r="B75" s="26">
        <f>(B72-($B$14-$B$15))/B72</f>
        <v/>
      </c>
      <c r="C75" s="26">
        <f>(C72-($B$14-$B$15))/C72</f>
        <v/>
      </c>
      <c r="D75" s="26">
        <f>(D72-($B$14-$B$15))/D72</f>
        <v/>
      </c>
      <c r="E75" s="26">
        <f>(E72-($B$14-$B$15))/E72</f>
        <v/>
      </c>
    </row>
    <row r="76">
      <c r="A76" t="inlineStr">
        <is>
          <t>H2-2026 Owners' Earnings</t>
        </is>
      </c>
      <c r="B76" s="24">
        <f>B71*B75</f>
        <v/>
      </c>
      <c r="C76" s="24">
        <f>C71*C75</f>
        <v/>
      </c>
      <c r="D76" s="24">
        <f>D71*D75</f>
        <v/>
      </c>
      <c r="E76" s="24">
        <f>E71*E75</f>
        <v/>
      </c>
    </row>
    <row r="77">
      <c r="A77" t="inlineStr">
        <is>
          <t>H2-2026 growth capex = FY less H1 actual (floor 0)</t>
        </is>
      </c>
      <c r="B77" s="24">
        <f>MAX(B73-$B$16,0)</f>
        <v/>
      </c>
      <c r="C77" s="24">
        <f>MAX(C73-$B$16,0)</f>
        <v/>
      </c>
      <c r="D77" s="24">
        <f>MAX(D73-$B$16,0)</f>
        <v/>
      </c>
      <c r="E77" s="24">
        <f>MAX(E73-$B$16,0)</f>
        <v/>
      </c>
    </row>
    <row r="78">
      <c r="A78" s="20" t="inlineStr">
        <is>
          <t>H2-2026 distributable cash</t>
        </is>
      </c>
      <c r="B78" s="25">
        <f>B76-B77-B74</f>
        <v/>
      </c>
      <c r="C78" s="25">
        <f>C76-C77-C74</f>
        <v/>
      </c>
      <c r="D78" s="25">
        <f>D76-D77-D74</f>
        <v/>
      </c>
      <c r="E78" s="25">
        <f>E76-E77-E74</f>
        <v/>
      </c>
    </row>
    <row r="80">
      <c r="A80" s="7" t="inlineStr">
        <is>
          <t>3.9 Distributable cash counted in the valuation</t>
        </is>
      </c>
      <c r="B80" s="8" t="inlineStr">
        <is>
          <t>2026</t>
        </is>
      </c>
      <c r="C80" s="8" t="inlineStr">
        <is>
          <t>2027</t>
        </is>
      </c>
      <c r="D80" s="8" t="inlineStr">
        <is>
          <t>2028</t>
        </is>
      </c>
      <c r="E80" s="8" t="inlineStr">
        <is>
          <t>2029</t>
        </is>
      </c>
      <c r="F80" s="8" t="inlineStr">
        <is>
          <t>2030</t>
        </is>
      </c>
      <c r="G80" s="8" t="inlineStr">
        <is>
          <t>2031</t>
        </is>
      </c>
      <c r="H80" s="8" t="inlineStr">
        <is>
          <t>PV</t>
        </is>
      </c>
      <c r="I80" s="7" t="n"/>
      <c r="J80" s="7" t="n"/>
      <c r="K80" s="7" t="n"/>
      <c r="L80" s="7" t="inlineStr">
        <is>
          <t>Source / explanation</t>
        </is>
      </c>
    </row>
    <row r="81">
      <c r="A81" t="inlineStr">
        <is>
          <t>Bear</t>
        </is>
      </c>
      <c r="B81" s="24">
        <f>B78</f>
        <v/>
      </c>
      <c r="C81" s="18">
        <f>'1 Earnings'!G336</f>
        <v/>
      </c>
      <c r="D81" s="18">
        <f>'1 Earnings'!H336</f>
        <v/>
      </c>
      <c r="E81" s="18">
        <f>'1 Earnings'!I336</f>
        <v/>
      </c>
      <c r="F81" s="18">
        <f>'1 Earnings'!J336</f>
        <v/>
      </c>
      <c r="G81" s="18">
        <f>'1 Earnings'!K336</f>
        <v/>
      </c>
      <c r="H81" s="24">
        <f>SUMPRODUCT(B81:G81,$B$67:$G$67)</f>
        <v/>
      </c>
      <c r="L81" s="10" t="inlineStr">
        <is>
          <t>2026 = H2 stub (3.8); 2027-31 linked to sheet 1</t>
        </is>
      </c>
    </row>
    <row r="82">
      <c r="A82" t="inlineStr">
        <is>
          <t>Base</t>
        </is>
      </c>
      <c r="B82" s="24">
        <f>C78</f>
        <v/>
      </c>
      <c r="C82" s="18">
        <f>'1 Earnings'!G430</f>
        <v/>
      </c>
      <c r="D82" s="18">
        <f>'1 Earnings'!H430</f>
        <v/>
      </c>
      <c r="E82" s="18">
        <f>'1 Earnings'!I430</f>
        <v/>
      </c>
      <c r="F82" s="18">
        <f>'1 Earnings'!J430</f>
        <v/>
      </c>
      <c r="G82" s="18">
        <f>'1 Earnings'!K430</f>
        <v/>
      </c>
      <c r="H82" s="24">
        <f>SUMPRODUCT(B82:G82,$B$67:$G$67)</f>
        <v/>
      </c>
      <c r="L82" s="10" t="inlineStr">
        <is>
          <t>2026 = H2 stub (3.8); 2027-31 linked to sheet 1</t>
        </is>
      </c>
    </row>
    <row r="83">
      <c r="A83" t="inlineStr">
        <is>
          <t>No growth (existing business only)</t>
        </is>
      </c>
      <c r="B83" s="24">
        <f>D78</f>
        <v/>
      </c>
      <c r="C83" s="18">
        <f>'1 Earnings'!G618</f>
        <v/>
      </c>
      <c r="D83" s="18">
        <f>'1 Earnings'!H618</f>
        <v/>
      </c>
      <c r="E83" s="18">
        <f>'1 Earnings'!I618</f>
        <v/>
      </c>
      <c r="F83" s="18">
        <f>'1 Earnings'!J618</f>
        <v/>
      </c>
      <c r="G83" s="18">
        <f>'1 Earnings'!K618</f>
        <v/>
      </c>
      <c r="H83" s="24">
        <f>SUMPRODUCT(B83:G83,$B$67:$G$67)</f>
        <v/>
      </c>
      <c r="L83" s="10" t="inlineStr">
        <is>
          <t>2026 = H2 stub (3.8); 2027-31 linked to sheet 1</t>
        </is>
      </c>
    </row>
    <row r="84">
      <c r="A84" t="inlineStr">
        <is>
          <t>Bull</t>
        </is>
      </c>
      <c r="B84" s="24">
        <f>E78</f>
        <v/>
      </c>
      <c r="C84" s="18">
        <f>'1 Earnings'!G524</f>
        <v/>
      </c>
      <c r="D84" s="18">
        <f>'1 Earnings'!H524</f>
        <v/>
      </c>
      <c r="E84" s="18">
        <f>'1 Earnings'!I524</f>
        <v/>
      </c>
      <c r="F84" s="18">
        <f>'1 Earnings'!J524</f>
        <v/>
      </c>
      <c r="G84" s="18">
        <f>'1 Earnings'!K524</f>
        <v/>
      </c>
      <c r="H84" s="24">
        <f>SUMPRODUCT(B84:G84,$B$67:$G$67)</f>
        <v/>
      </c>
      <c r="L84" s="10" t="inlineStr">
        <is>
          <t>2026 = H2 stub (3.8); 2027-31 linked to sheet 1</t>
        </is>
      </c>
    </row>
    <row r="86">
      <c r="A86" s="7" t="inlineStr">
        <is>
          <t>3.10 Standalone assets and debt (computed once, same for every case)</t>
        </is>
      </c>
      <c r="B86" s="8" t="inlineStr">
        <is>
          <t>Value</t>
        </is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inlineStr">
        <is>
          <t>Source / explanation</t>
        </is>
      </c>
    </row>
    <row r="87">
      <c r="A87" t="inlineStr">
        <is>
          <t>Excess cash above operating requirement</t>
        </is>
      </c>
      <c r="B87" s="24">
        <f>MAX(B19-B20,0)</f>
        <v/>
      </c>
    </row>
    <row r="88">
      <c r="A88" t="inlineStr">
        <is>
          <t>JH goodwill + intangibles (book)</t>
        </is>
      </c>
      <c r="B88" s="24">
        <f>B36+B37+B38+B39</f>
        <v/>
      </c>
    </row>
    <row r="89">
      <c r="A89" t="inlineStr">
        <is>
          <t>Legacy goodwill + intangibles (book)</t>
        </is>
      </c>
      <c r="B89" s="24">
        <f>B40+B41</f>
        <v/>
      </c>
    </row>
    <row r="90">
      <c r="A90" t="inlineStr">
        <is>
          <t>Other 2026 goodwill + intangibles</t>
        </is>
      </c>
      <c r="B90" s="24">
        <f>B42+B43+B44</f>
        <v/>
      </c>
    </row>
    <row r="91">
      <c r="A91" t="inlineStr">
        <is>
          <t>JH tax shield (Boyd's estimate)</t>
        </is>
      </c>
      <c r="B91" s="24">
        <f>B35</f>
        <v/>
      </c>
    </row>
    <row r="92">
      <c r="A92" t="inlineStr">
        <is>
          <t>Legacy tax shield = JH estimate x legacy / JH book ratio</t>
        </is>
      </c>
      <c r="B92" s="24">
        <f>B35*B89/B88</f>
        <v/>
      </c>
      <c r="L92" s="10" t="inlineStr">
        <is>
          <t>Inference: assumes pre-2023 goodwill is as deductible as 2023-25 goodwill (disclosed deductible)</t>
        </is>
      </c>
    </row>
    <row r="93">
      <c r="A93" t="inlineStr">
        <is>
          <t>Other 2026 acquisitions tax shield (same ratio method)</t>
        </is>
      </c>
      <c r="B93" s="24">
        <f>B35*B90/B88</f>
        <v/>
      </c>
    </row>
    <row r="94">
      <c r="A94" s="20" t="inlineStr">
        <is>
          <t>Standalone assets, total</t>
        </is>
      </c>
      <c r="B94" s="25">
        <f>B87+B91+B92+B93</f>
        <v/>
      </c>
    </row>
    <row r="95">
      <c r="A95" t="inlineStr">
        <is>
          <t>Cross-currency swaps, net asset</t>
        </is>
      </c>
      <c r="B95" s="24">
        <f>B27-B28</f>
        <v/>
      </c>
    </row>
    <row r="96">
      <c r="A96" s="20" t="inlineStr">
        <is>
          <t>Debt and debt-like items, total</t>
        </is>
      </c>
      <c r="B96" s="25">
        <f>B21+B22+B23+B24+B25+B26-B95</f>
        <v/>
      </c>
      <c r="L96" s="10" t="inlineStr">
        <is>
          <t>Leases and deferred tax deliberately excluded (3.3 memo)</t>
        </is>
      </c>
    </row>
    <row r="97">
      <c r="A97" t="inlineStr">
        <is>
          <t>Diluted shares (millions) = basic + dilutive RSU/PSU</t>
        </is>
      </c>
      <c r="B97" s="41">
        <f>(B52+B53-B54)/1000000</f>
        <v/>
      </c>
      <c r="L97" s="10" t="inlineStr">
        <is>
          <t>Options anti-dilutive (Q2FY26 FS l.669)</t>
        </is>
      </c>
    </row>
    <row r="98">
      <c r="A98" t="inlineStr">
        <is>
          <t>C$ per US$ implied by Boyd's own note balances</t>
        </is>
      </c>
      <c r="B98" s="40">
        <f>B56/B57</f>
        <v/>
      </c>
      <c r="L98" s="10" t="inlineStr">
        <is>
          <t>No market FX used</t>
        </is>
      </c>
    </row>
    <row r="100">
      <c r="A100" s="7" t="inlineStr">
        <is>
          <t>3.11 SUM OF THE PARTS - intrinsic value per share (headline, exit-multiple TV)</t>
        </is>
      </c>
      <c r="B100" s="8" t="inlineStr">
        <is>
          <t>Bear</t>
        </is>
      </c>
      <c r="C100" s="8" t="inlineStr">
        <is>
          <t>Base</t>
        </is>
      </c>
      <c r="D100" s="8" t="inlineStr">
        <is>
          <t>No growth</t>
        </is>
      </c>
      <c r="E100" s="8" t="inlineStr">
        <is>
          <t>Bull</t>
        </is>
      </c>
      <c r="F100" s="8" t="inlineStr">
        <is>
          <t>Weighted</t>
        </is>
      </c>
      <c r="G100" s="7" t="n"/>
      <c r="H100" s="7" t="n"/>
      <c r="I100" s="7" t="n"/>
      <c r="J100" s="7" t="n"/>
      <c r="K100" s="7" t="n"/>
      <c r="L100" s="7" t="inlineStr">
        <is>
          <t>Source / explanation</t>
        </is>
      </c>
    </row>
    <row r="101">
      <c r="A101" t="inlineStr">
        <is>
          <t>PV of 2026-31 distributable cash</t>
        </is>
      </c>
      <c r="B101" s="24">
        <f>H81</f>
        <v/>
      </c>
      <c r="C101" s="24">
        <f>H82</f>
        <v/>
      </c>
      <c r="D101" s="24">
        <f>H83</f>
        <v/>
      </c>
      <c r="E101" s="24">
        <f>H84</f>
        <v/>
      </c>
      <c r="F101" s="24">
        <f>SUMPRODUCT($B$11:$E$11,B101:E101)</f>
        <v/>
      </c>
    </row>
    <row r="102">
      <c r="A102" t="inlineStr">
        <is>
          <t>Terminal value, end-2031 (sheet 2)</t>
        </is>
      </c>
      <c r="B102" s="18">
        <f>'2 Terminal Value'!B73</f>
        <v/>
      </c>
      <c r="C102" s="18">
        <f>'2 Terminal Value'!C73</f>
        <v/>
      </c>
      <c r="D102" s="18">
        <f>'2 Terminal Value'!D73</f>
        <v/>
      </c>
      <c r="E102" s="18">
        <f>'2 Terminal Value'!E73</f>
        <v/>
      </c>
      <c r="F102" s="24">
        <f>SUMPRODUCT($B$11:$E$11,B102:E102)</f>
        <v/>
      </c>
    </row>
    <row r="103">
      <c r="A103" t="inlineStr">
        <is>
          <t>PV of terminal value</t>
        </is>
      </c>
      <c r="B103" s="24">
        <f>B102*$B$68</f>
        <v/>
      </c>
      <c r="C103" s="24">
        <f>C102*$B$68</f>
        <v/>
      </c>
      <c r="D103" s="24">
        <f>D102*$B$68</f>
        <v/>
      </c>
      <c r="E103" s="24">
        <f>E102*$B$68</f>
        <v/>
      </c>
      <c r="F103" s="24">
        <f>SUMPRODUCT($B$11:$E$11,B103:E103)</f>
        <v/>
      </c>
    </row>
    <row r="104">
      <c r="A104" s="20" t="inlineStr">
        <is>
          <t>Enterprise value (operating business)</t>
        </is>
      </c>
      <c r="B104" s="25">
        <f>B101+B103</f>
        <v/>
      </c>
      <c r="C104" s="25">
        <f>C101+C103</f>
        <v/>
      </c>
      <c r="D104" s="25">
        <f>D101+D103</f>
        <v/>
      </c>
      <c r="E104" s="25">
        <f>E101+E103</f>
        <v/>
      </c>
      <c r="F104" s="25">
        <f>SUMPRODUCT($B$11:$E$11,B104:E104)</f>
        <v/>
      </c>
    </row>
    <row r="105">
      <c r="A105" t="inlineStr">
        <is>
          <t xml:space="preserve">  terminal value share of EV</t>
        </is>
      </c>
      <c r="B105" s="26">
        <f>B103/B104</f>
        <v/>
      </c>
      <c r="C105" s="26">
        <f>C103/C104</f>
        <v/>
      </c>
      <c r="D105" s="26">
        <f>D103/D104</f>
        <v/>
      </c>
      <c r="E105" s="26">
        <f>E103/E104</f>
        <v/>
      </c>
      <c r="F105" s="26">
        <f>F103/F104</f>
        <v/>
      </c>
    </row>
    <row r="106">
      <c r="A106" t="inlineStr">
        <is>
          <t>Plus: excess cash</t>
        </is>
      </c>
      <c r="B106" s="24">
        <f>$B$87</f>
        <v/>
      </c>
      <c r="C106" s="24">
        <f>$B$87</f>
        <v/>
      </c>
      <c r="D106" s="24">
        <f>$B$87</f>
        <v/>
      </c>
      <c r="E106" s="24">
        <f>$B$87</f>
        <v/>
      </c>
      <c r="F106" s="24">
        <f>$B$87</f>
        <v/>
      </c>
    </row>
    <row r="107">
      <c r="A107" t="inlineStr">
        <is>
          <t>Plus: JH tax shield</t>
        </is>
      </c>
      <c r="B107" s="24">
        <f>$B$91</f>
        <v/>
      </c>
      <c r="C107" s="24">
        <f>$B$91</f>
        <v/>
      </c>
      <c r="D107" s="24">
        <f>$B$91</f>
        <v/>
      </c>
      <c r="E107" s="24">
        <f>$B$91</f>
        <v/>
      </c>
      <c r="F107" s="24">
        <f>$B$91</f>
        <v/>
      </c>
    </row>
    <row r="108">
      <c r="A108" t="inlineStr">
        <is>
          <t>Plus: legacy goodwill &amp; intangibles tax shield</t>
        </is>
      </c>
      <c r="B108" s="24">
        <f>$B$92</f>
        <v/>
      </c>
      <c r="C108" s="24">
        <f>$B$92</f>
        <v/>
      </c>
      <c r="D108" s="24">
        <f>$B$92</f>
        <v/>
      </c>
      <c r="E108" s="24">
        <f>$B$92</f>
        <v/>
      </c>
      <c r="F108" s="24">
        <f>$B$92</f>
        <v/>
      </c>
    </row>
    <row r="109">
      <c r="A109" t="inlineStr">
        <is>
          <t>Plus: other 2026 tax shield</t>
        </is>
      </c>
      <c r="B109" s="24">
        <f>$B$93</f>
        <v/>
      </c>
      <c r="C109" s="24">
        <f>$B$93</f>
        <v/>
      </c>
      <c r="D109" s="24">
        <f>$B$93</f>
        <v/>
      </c>
      <c r="E109" s="24">
        <f>$B$93</f>
        <v/>
      </c>
      <c r="F109" s="24">
        <f>$B$93</f>
        <v/>
      </c>
    </row>
    <row r="110">
      <c r="A110" t="inlineStr">
        <is>
          <t>Less: revolver + swing line</t>
        </is>
      </c>
      <c r="B110" s="24">
        <f>-$B$21</f>
        <v/>
      </c>
      <c r="C110" s="24">
        <f>-$B$21</f>
        <v/>
      </c>
      <c r="D110" s="24">
        <f>-$B$21</f>
        <v/>
      </c>
      <c r="E110" s="24">
        <f>-$B$21</f>
        <v/>
      </c>
      <c r="F110" s="24">
        <f>-$B$21</f>
        <v/>
      </c>
    </row>
    <row r="111">
      <c r="A111" t="inlineStr">
        <is>
          <t>Less: Term Loan A</t>
        </is>
      </c>
      <c r="B111" s="24">
        <f>-$B$22</f>
        <v/>
      </c>
      <c r="C111" s="24">
        <f>-$B$22</f>
        <v/>
      </c>
      <c r="D111" s="24">
        <f>-$B$22</f>
        <v/>
      </c>
      <c r="E111" s="24">
        <f>-$B$22</f>
        <v/>
      </c>
      <c r="F111" s="24">
        <f>-$B$22</f>
        <v/>
      </c>
    </row>
    <row r="112">
      <c r="A112" t="inlineStr">
        <is>
          <t>Less: seller notes</t>
        </is>
      </c>
      <c r="B112" s="24">
        <f>-$B$23</f>
        <v/>
      </c>
      <c r="C112" s="24">
        <f>-$B$23</f>
        <v/>
      </c>
      <c r="D112" s="24">
        <f>-$B$23</f>
        <v/>
      </c>
      <c r="E112" s="24">
        <f>-$B$23</f>
        <v/>
      </c>
      <c r="F112" s="24">
        <f>-$B$23</f>
        <v/>
      </c>
    </row>
    <row r="113">
      <c r="A113" t="inlineStr">
        <is>
          <t>Less: senior notes 2030</t>
        </is>
      </c>
      <c r="B113" s="24">
        <f>-$B$24</f>
        <v/>
      </c>
      <c r="C113" s="24">
        <f>-$B$24</f>
        <v/>
      </c>
      <c r="D113" s="24">
        <f>-$B$24</f>
        <v/>
      </c>
      <c r="E113" s="24">
        <f>-$B$24</f>
        <v/>
      </c>
      <c r="F113" s="24">
        <f>-$B$24</f>
        <v/>
      </c>
    </row>
    <row r="114">
      <c r="A114" t="inlineStr">
        <is>
          <t>Less: senior notes 2033</t>
        </is>
      </c>
      <c r="B114" s="24">
        <f>-$B$25</f>
        <v/>
      </c>
      <c r="C114" s="24">
        <f>-$B$25</f>
        <v/>
      </c>
      <c r="D114" s="24">
        <f>-$B$25</f>
        <v/>
      </c>
      <c r="E114" s="24">
        <f>-$B$25</f>
        <v/>
      </c>
      <c r="F114" s="24">
        <f>-$B$25</f>
        <v/>
      </c>
    </row>
    <row r="115">
      <c r="A115" t="inlineStr">
        <is>
          <t>Less: dividends payable</t>
        </is>
      </c>
      <c r="B115" s="24">
        <f>-$B$26</f>
        <v/>
      </c>
      <c r="C115" s="24">
        <f>-$B$26</f>
        <v/>
      </c>
      <c r="D115" s="24">
        <f>-$B$26</f>
        <v/>
      </c>
      <c r="E115" s="24">
        <f>-$B$26</f>
        <v/>
      </c>
      <c r="F115" s="24">
        <f>-$B$26</f>
        <v/>
      </c>
    </row>
    <row r="116">
      <c r="A116" t="inlineStr">
        <is>
          <t>Plus: cross-currency swaps, net asset</t>
        </is>
      </c>
      <c r="B116" s="24">
        <f>$B$95</f>
        <v/>
      </c>
      <c r="C116" s="24">
        <f>$B$95</f>
        <v/>
      </c>
      <c r="D116" s="24">
        <f>$B$95</f>
        <v/>
      </c>
      <c r="E116" s="24">
        <f>$B$95</f>
        <v/>
      </c>
      <c r="F116" s="24">
        <f>$B$95</f>
        <v/>
      </c>
    </row>
    <row r="117">
      <c r="A117" s="20" t="inlineStr">
        <is>
          <t>Equity value</t>
        </is>
      </c>
      <c r="B117" s="25">
        <f>B104+SUM(B106:B116)</f>
        <v/>
      </c>
      <c r="C117" s="25">
        <f>C104+SUM(C106:C116)</f>
        <v/>
      </c>
      <c r="D117" s="25">
        <f>D104+SUM(D106:D116)</f>
        <v/>
      </c>
      <c r="E117" s="25">
        <f>E104+SUM(E106:E116)</f>
        <v/>
      </c>
      <c r="F117" s="25">
        <f>F104+SUM(F106:F116)</f>
        <v/>
      </c>
    </row>
    <row r="118">
      <c r="A118" s="20" t="inlineStr">
        <is>
          <t>Intrinsic value per diluted share (US$)</t>
        </is>
      </c>
      <c r="B118" s="42">
        <f>B117/$B$97</f>
        <v/>
      </c>
      <c r="C118" s="42">
        <f>C117/$B$97</f>
        <v/>
      </c>
      <c r="D118" s="42">
        <f>D117/$B$97</f>
        <v/>
      </c>
      <c r="E118" s="42">
        <f>E117/$B$97</f>
        <v/>
      </c>
      <c r="F118" s="42">
        <f>SUMPRODUCT($B$11:$E$11,B118:E118)</f>
        <v/>
      </c>
    </row>
    <row r="119">
      <c r="A119" s="20" t="inlineStr">
        <is>
          <t>Intrinsic value per diluted share (C$)</t>
        </is>
      </c>
      <c r="B119" s="42">
        <f>B118*$B$98</f>
        <v/>
      </c>
      <c r="C119" s="42">
        <f>C118*$B$98</f>
        <v/>
      </c>
      <c r="D119" s="42">
        <f>D118*$B$98</f>
        <v/>
      </c>
      <c r="E119" s="42">
        <f>E118*$B$98</f>
        <v/>
      </c>
      <c r="F119" s="42">
        <f>F118*$B$98</f>
        <v/>
      </c>
    </row>
    <row r="120">
      <c r="A120" t="inlineStr">
        <is>
          <t>Check: weighted equity / shares less weighted per share (must be nil)</t>
        </is>
      </c>
      <c r="F120" s="43">
        <f>F117/$B$97-F118</f>
        <v/>
      </c>
    </row>
    <row r="121">
      <c r="A121" t="inlineStr">
        <is>
          <t>Memo: per share at sheet 1 forecast weights (Bear/Base/Bull only)</t>
        </is>
      </c>
      <c r="F121" s="44">
        <f>'1 Earnings'!B64*B118+'1 Earnings'!B65*C118+'1 Earnings'!B66*E118</f>
        <v/>
      </c>
    </row>
    <row r="123">
      <c r="A123" s="7" t="inlineStr">
        <is>
          <t>3.12 Cross-check: perpetuity terminal value at this sheet's discount rate</t>
        </is>
      </c>
      <c r="B123" s="8" t="inlineStr">
        <is>
          <t>Bear</t>
        </is>
      </c>
      <c r="C123" s="8" t="inlineStr">
        <is>
          <t>Base</t>
        </is>
      </c>
      <c r="D123" s="8" t="inlineStr">
        <is>
          <t>No growth</t>
        </is>
      </c>
      <c r="E123" s="8" t="inlineStr">
        <is>
          <t>Bull</t>
        </is>
      </c>
      <c r="F123" s="8" t="inlineStr">
        <is>
          <t>Weighted</t>
        </is>
      </c>
      <c r="G123" s="7" t="n"/>
      <c r="H123" s="7" t="n"/>
      <c r="I123" s="7" t="n"/>
      <c r="J123" s="7" t="n"/>
      <c r="K123" s="7" t="n"/>
      <c r="L123" s="7" t="inlineStr">
        <is>
          <t>Source / explanation</t>
        </is>
      </c>
    </row>
    <row r="124">
      <c r="A124" t="inlineStr">
        <is>
          <t>FY2031E run-rate OE (OE + new-location OE still ramping)</t>
        </is>
      </c>
      <c r="B124" s="18">
        <f>'1 Earnings'!K329+'1 Earnings'!K334</f>
        <v/>
      </c>
      <c r="C124" s="18">
        <f>'1 Earnings'!K423+'1 Earnings'!K428</f>
        <v/>
      </c>
      <c r="D124" s="18">
        <f>'1 Earnings'!K611+'1 Earnings'!K616</f>
        <v/>
      </c>
      <c r="E124" s="18">
        <f>'1 Earnings'!K517+'1 Earnings'!K522</f>
        <v/>
      </c>
    </row>
    <row r="125">
      <c r="A125" t="inlineStr">
        <is>
          <t>Steady-state growth (sheet 2)</t>
        </is>
      </c>
      <c r="B125" s="19">
        <f>'2 Terminal Value'!B97</f>
        <v/>
      </c>
      <c r="C125" s="19">
        <f>'2 Terminal Value'!C97</f>
        <v/>
      </c>
      <c r="D125" s="19">
        <f>'2 Terminal Value'!D97</f>
        <v/>
      </c>
      <c r="E125" s="19">
        <f>'2 Terminal Value'!E97</f>
        <v/>
      </c>
    </row>
    <row r="126">
      <c r="A126" t="inlineStr">
        <is>
          <t>Reinvestment rate (sheet 2)</t>
        </is>
      </c>
      <c r="B126" s="19">
        <f>'2 Terminal Value'!B98</f>
        <v/>
      </c>
      <c r="C126" s="19">
        <f>'2 Terminal Value'!C98</f>
        <v/>
      </c>
      <c r="D126" s="19">
        <f>'2 Terminal Value'!D98</f>
        <v/>
      </c>
      <c r="E126" s="19">
        <f>'2 Terminal Value'!E98</f>
        <v/>
      </c>
    </row>
    <row r="127">
      <c r="A127" t="inlineStr">
        <is>
          <t>TV / OE = (1+g)(1-reinvestment)/(r-g)</t>
        </is>
      </c>
      <c r="B127" s="35">
        <f>(1+B125)*(1-B126)/($B$7-B125)</f>
        <v/>
      </c>
      <c r="C127" s="35">
        <f>(1+C125)*(1-C126)/($B$7-C125)</f>
        <v/>
      </c>
      <c r="D127" s="35">
        <f>(1+D125)*(1-D126)/($B$7-D125)</f>
        <v/>
      </c>
      <c r="E127" s="35">
        <f>(1+E125)*(1-E126)/($B$7-E125)</f>
        <v/>
      </c>
    </row>
    <row r="128">
      <c r="A128" t="inlineStr">
        <is>
          <t>Perpetuity terminal value, end-2031</t>
        </is>
      </c>
      <c r="B128" s="24">
        <f>B127*B124</f>
        <v/>
      </c>
      <c r="C128" s="24">
        <f>C127*C124</f>
        <v/>
      </c>
      <c r="D128" s="24">
        <f>D127*D124</f>
        <v/>
      </c>
      <c r="E128" s="24">
        <f>E127*E124</f>
        <v/>
      </c>
      <c r="F128" s="24">
        <f>SUMPRODUCT($B$11:$E$11,B128:E128)</f>
        <v/>
      </c>
    </row>
    <row r="129">
      <c r="A129" t="inlineStr">
        <is>
          <t>Enterprise value</t>
        </is>
      </c>
      <c r="B129" s="24">
        <f>B101+B128*$B$68</f>
        <v/>
      </c>
      <c r="C129" s="24">
        <f>C101+C128*$B$68</f>
        <v/>
      </c>
      <c r="D129" s="24">
        <f>D101+D128*$B$68</f>
        <v/>
      </c>
      <c r="E129" s="24">
        <f>E101+E128*$B$68</f>
        <v/>
      </c>
      <c r="F129" s="24">
        <f>SUMPRODUCT($B$11:$E$11,B129:E129)</f>
        <v/>
      </c>
    </row>
    <row r="130">
      <c r="A130" t="inlineStr">
        <is>
          <t>Equity value</t>
        </is>
      </c>
      <c r="B130" s="24">
        <f>B129+$B$94-$B$96</f>
        <v/>
      </c>
      <c r="C130" s="24">
        <f>C129+$B$94-$B$96</f>
        <v/>
      </c>
      <c r="D130" s="24">
        <f>D129+$B$94-$B$96</f>
        <v/>
      </c>
      <c r="E130" s="24">
        <f>E129+$B$94-$B$96</f>
        <v/>
      </c>
      <c r="F130" s="24">
        <f>F129+$B$94-$B$96</f>
        <v/>
      </c>
    </row>
    <row r="131">
      <c r="A131" s="20" t="inlineStr">
        <is>
          <t>Per diluted share (US$)</t>
        </is>
      </c>
      <c r="B131" s="42">
        <f>B130/$B$97</f>
        <v/>
      </c>
      <c r="C131" s="42">
        <f>C130/$B$97</f>
        <v/>
      </c>
      <c r="D131" s="42">
        <f>D130/$B$97</f>
        <v/>
      </c>
      <c r="E131" s="42">
        <f>E130/$B$97</f>
        <v/>
      </c>
      <c r="F131" s="42">
        <f>SUMPRODUCT($B$11:$E$11,B131:E131)</f>
        <v/>
      </c>
    </row>
    <row r="132">
      <c r="A132" t="inlineStr">
        <is>
          <t>Implied EV / FY2031E EBITDA after rent</t>
        </is>
      </c>
      <c r="B132" s="35">
        <f>B128/'2 Terminal Value'!B61</f>
        <v/>
      </c>
      <c r="C132" s="35">
        <f>C128/'2 Terminal Value'!C61</f>
        <v/>
      </c>
      <c r="D132" s="35">
        <f>D128/'2 Terminal Value'!D61</f>
        <v/>
      </c>
      <c r="E132" s="35">
        <f>E128/'2 Terminal Value'!E61</f>
        <v/>
      </c>
      <c r="L132" s="10" t="inlineStr">
        <is>
          <t>Compare with chosen exit multiples</t>
        </is>
      </c>
    </row>
    <row r="134">
      <c r="A134" s="7" t="inlineStr">
        <is>
          <t>3.13 Discount factors at each test rate (rows) by year</t>
        </is>
      </c>
      <c r="B134" s="8" t="inlineStr">
        <is>
          <t>2026</t>
        </is>
      </c>
      <c r="C134" s="8" t="inlineStr">
        <is>
          <t>2027</t>
        </is>
      </c>
      <c r="D134" s="8" t="inlineStr">
        <is>
          <t>2028</t>
        </is>
      </c>
      <c r="E134" s="8" t="inlineStr">
        <is>
          <t>2029</t>
        </is>
      </c>
      <c r="F134" s="8" t="inlineStr">
        <is>
          <t>2030</t>
        </is>
      </c>
      <c r="G134" s="8" t="inlineStr">
        <is>
          <t>2031</t>
        </is>
      </c>
      <c r="H134" s="8" t="inlineStr">
        <is>
          <t>Terminal</t>
        </is>
      </c>
      <c r="I134" s="7" t="n"/>
      <c r="J134" s="7" t="n"/>
      <c r="K134" s="7" t="n"/>
      <c r="L134" s="7" t="inlineStr">
        <is>
          <t>Source / explanation</t>
        </is>
      </c>
    </row>
    <row r="135">
      <c r="A135" t="inlineStr">
        <is>
          <t xml:space="preserve">  discount factors at test rate in 3.6 column B</t>
        </is>
      </c>
      <c r="B135" s="40">
        <f>1/(1+$B$60)^$B$66</f>
        <v/>
      </c>
      <c r="C135" s="40">
        <f>1/(1+$B$60)^$C$66</f>
        <v/>
      </c>
      <c r="D135" s="40">
        <f>1/(1+$B$60)^$D$66</f>
        <v/>
      </c>
      <c r="E135" s="40">
        <f>1/(1+$B$60)^$E$66</f>
        <v/>
      </c>
      <c r="F135" s="40">
        <f>1/(1+$B$60)^$F$66</f>
        <v/>
      </c>
      <c r="G135" s="40">
        <f>1/(1+$B$60)^$G$66</f>
        <v/>
      </c>
      <c r="H135" s="40">
        <f>1/(1+$B$60)^($B$9-$B$8)</f>
        <v/>
      </c>
    </row>
    <row r="136">
      <c r="A136" t="inlineStr">
        <is>
          <t xml:space="preserve">  discount factors at test rate in 3.6 column C</t>
        </is>
      </c>
      <c r="B136" s="40">
        <f>1/(1+$C$60)^$B$66</f>
        <v/>
      </c>
      <c r="C136" s="40">
        <f>1/(1+$C$60)^$C$66</f>
        <v/>
      </c>
      <c r="D136" s="40">
        <f>1/(1+$C$60)^$D$66</f>
        <v/>
      </c>
      <c r="E136" s="40">
        <f>1/(1+$C$60)^$E$66</f>
        <v/>
      </c>
      <c r="F136" s="40">
        <f>1/(1+$C$60)^$F$66</f>
        <v/>
      </c>
      <c r="G136" s="40">
        <f>1/(1+$C$60)^$G$66</f>
        <v/>
      </c>
      <c r="H136" s="40">
        <f>1/(1+$C$60)^($B$9-$B$8)</f>
        <v/>
      </c>
    </row>
    <row r="137">
      <c r="A137" t="inlineStr">
        <is>
          <t xml:space="preserve">  discount factors at test rate in 3.6 column D</t>
        </is>
      </c>
      <c r="B137" s="40">
        <f>1/(1+$D$60)^$B$66</f>
        <v/>
      </c>
      <c r="C137" s="40">
        <f>1/(1+$D$60)^$C$66</f>
        <v/>
      </c>
      <c r="D137" s="40">
        <f>1/(1+$D$60)^$D$66</f>
        <v/>
      </c>
      <c r="E137" s="40">
        <f>1/(1+$D$60)^$E$66</f>
        <v/>
      </c>
      <c r="F137" s="40">
        <f>1/(1+$D$60)^$F$66</f>
        <v/>
      </c>
      <c r="G137" s="40">
        <f>1/(1+$D$60)^$G$66</f>
        <v/>
      </c>
      <c r="H137" s="40">
        <f>1/(1+$D$60)^($B$9-$B$8)</f>
        <v/>
      </c>
    </row>
    <row r="138">
      <c r="A138" t="inlineStr">
        <is>
          <t xml:space="preserve">  discount factors at test rate in 3.6 column E</t>
        </is>
      </c>
      <c r="B138" s="40">
        <f>1/(1+$E$60)^$B$66</f>
        <v/>
      </c>
      <c r="C138" s="40">
        <f>1/(1+$E$60)^$C$66</f>
        <v/>
      </c>
      <c r="D138" s="40">
        <f>1/(1+$E$60)^$D$66</f>
        <v/>
      </c>
      <c r="E138" s="40">
        <f>1/(1+$E$60)^$E$66</f>
        <v/>
      </c>
      <c r="F138" s="40">
        <f>1/(1+$E$60)^$F$66</f>
        <v/>
      </c>
      <c r="G138" s="40">
        <f>1/(1+$E$60)^$G$66</f>
        <v/>
      </c>
      <c r="H138" s="40">
        <f>1/(1+$E$60)^($B$9-$B$8)</f>
        <v/>
      </c>
    </row>
    <row r="139">
      <c r="A139" t="inlineStr">
        <is>
          <t xml:space="preserve">  discount factors at test rate in 3.6 column F</t>
        </is>
      </c>
      <c r="B139" s="40">
        <f>1/(1+$F$60)^$B$66</f>
        <v/>
      </c>
      <c r="C139" s="40">
        <f>1/(1+$F$60)^$C$66</f>
        <v/>
      </c>
      <c r="D139" s="40">
        <f>1/(1+$F$60)^$D$66</f>
        <v/>
      </c>
      <c r="E139" s="40">
        <f>1/(1+$F$60)^$E$66</f>
        <v/>
      </c>
      <c r="F139" s="40">
        <f>1/(1+$F$60)^$F$66</f>
        <v/>
      </c>
      <c r="G139" s="40">
        <f>1/(1+$F$60)^$G$66</f>
        <v/>
      </c>
      <c r="H139" s="40">
        <f>1/(1+$F$60)^($B$9-$B$8)</f>
        <v/>
      </c>
    </row>
    <row r="141">
      <c r="A141" s="7" t="inlineStr">
        <is>
          <t>3.14 Sensitivity: US$ per share by discount rate</t>
        </is>
      </c>
      <c r="B141" s="8" t="inlineStr">
        <is>
          <t>Rate</t>
        </is>
      </c>
      <c r="C141" s="8" t="inlineStr"/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7" t="n"/>
      <c r="L141" s="7" t="n"/>
    </row>
    <row r="142">
      <c r="A142" t="inlineStr">
        <is>
          <t>Exit-multiple TV:  Bear | Base | No growth | Bull | Weighted  (cols C-G)</t>
        </is>
      </c>
    </row>
    <row r="143">
      <c r="A143" t="inlineStr">
        <is>
          <t xml:space="preserve">  exit TV</t>
        </is>
      </c>
      <c r="B143" s="19">
        <f>B60</f>
        <v/>
      </c>
      <c r="C143" s="44">
        <f>(SUMPRODUCT($B$81:$G$81,$B$135:$G$135)+$B$102*$H$135+$B$94-$B$96)/$B$97</f>
        <v/>
      </c>
      <c r="D143" s="44">
        <f>(SUMPRODUCT($B$82:$G$82,$B$135:$G$135)+$C$102*$H$135+$B$94-$B$96)/$B$97</f>
        <v/>
      </c>
      <c r="E143" s="44">
        <f>(SUMPRODUCT($B$83:$G$83,$B$135:$G$135)+$D$102*$H$135+$B$94-$B$96)/$B$97</f>
        <v/>
      </c>
      <c r="F143" s="44">
        <f>(SUMPRODUCT($B$84:$G$84,$B$135:$G$135)+$E$102*$H$135+$B$94-$B$96)/$B$97</f>
        <v/>
      </c>
      <c r="G143" s="44">
        <f>SUMPRODUCT($B$11:$E$11,C143:F143)</f>
        <v/>
      </c>
    </row>
    <row r="144">
      <c r="A144" t="inlineStr">
        <is>
          <t xml:space="preserve">  exit TV</t>
        </is>
      </c>
      <c r="B144" s="19">
        <f>C60</f>
        <v/>
      </c>
      <c r="C144" s="44">
        <f>(SUMPRODUCT($B$81:$G$81,$B$136:$G$136)+$B$102*$H$136+$B$94-$B$96)/$B$97</f>
        <v/>
      </c>
      <c r="D144" s="44">
        <f>(SUMPRODUCT($B$82:$G$82,$B$136:$G$136)+$C$102*$H$136+$B$94-$B$96)/$B$97</f>
        <v/>
      </c>
      <c r="E144" s="44">
        <f>(SUMPRODUCT($B$83:$G$83,$B$136:$G$136)+$D$102*$H$136+$B$94-$B$96)/$B$97</f>
        <v/>
      </c>
      <c r="F144" s="44">
        <f>(SUMPRODUCT($B$84:$G$84,$B$136:$G$136)+$E$102*$H$136+$B$94-$B$96)/$B$97</f>
        <v/>
      </c>
      <c r="G144" s="44">
        <f>SUMPRODUCT($B$11:$E$11,C144:F144)</f>
        <v/>
      </c>
    </row>
    <row r="145">
      <c r="A145" t="inlineStr">
        <is>
          <t xml:space="preserve">  exit TV</t>
        </is>
      </c>
      <c r="B145" s="19">
        <f>D60</f>
        <v/>
      </c>
      <c r="C145" s="44">
        <f>(SUMPRODUCT($B$81:$G$81,$B$137:$G$137)+$B$102*$H$137+$B$94-$B$96)/$B$97</f>
        <v/>
      </c>
      <c r="D145" s="44">
        <f>(SUMPRODUCT($B$82:$G$82,$B$137:$G$137)+$C$102*$H$137+$B$94-$B$96)/$B$97</f>
        <v/>
      </c>
      <c r="E145" s="44">
        <f>(SUMPRODUCT($B$83:$G$83,$B$137:$G$137)+$D$102*$H$137+$B$94-$B$96)/$B$97</f>
        <v/>
      </c>
      <c r="F145" s="44">
        <f>(SUMPRODUCT($B$84:$G$84,$B$137:$G$137)+$E$102*$H$137+$B$94-$B$96)/$B$97</f>
        <v/>
      </c>
      <c r="G145" s="44">
        <f>SUMPRODUCT($B$11:$E$11,C145:F145)</f>
        <v/>
      </c>
    </row>
    <row r="146">
      <c r="A146" t="inlineStr">
        <is>
          <t xml:space="preserve">  exit TV</t>
        </is>
      </c>
      <c r="B146" s="19">
        <f>E60</f>
        <v/>
      </c>
      <c r="C146" s="44">
        <f>(SUMPRODUCT($B$81:$G$81,$B$138:$G$138)+$B$102*$H$138+$B$94-$B$96)/$B$97</f>
        <v/>
      </c>
      <c r="D146" s="44">
        <f>(SUMPRODUCT($B$82:$G$82,$B$138:$G$138)+$C$102*$H$138+$B$94-$B$96)/$B$97</f>
        <v/>
      </c>
      <c r="E146" s="44">
        <f>(SUMPRODUCT($B$83:$G$83,$B$138:$G$138)+$D$102*$H$138+$B$94-$B$96)/$B$97</f>
        <v/>
      </c>
      <c r="F146" s="44">
        <f>(SUMPRODUCT($B$84:$G$84,$B$138:$G$138)+$E$102*$H$138+$B$94-$B$96)/$B$97</f>
        <v/>
      </c>
      <c r="G146" s="44">
        <f>SUMPRODUCT($B$11:$E$11,C146:F146)</f>
        <v/>
      </c>
    </row>
    <row r="147">
      <c r="A147" t="inlineStr">
        <is>
          <t xml:space="preserve">  exit TV</t>
        </is>
      </c>
      <c r="B147" s="19">
        <f>F60</f>
        <v/>
      </c>
      <c r="C147" s="44">
        <f>(SUMPRODUCT($B$81:$G$81,$B$139:$G$139)+$B$102*$H$139+$B$94-$B$96)/$B$97</f>
        <v/>
      </c>
      <c r="D147" s="44">
        <f>(SUMPRODUCT($B$82:$G$82,$B$139:$G$139)+$C$102*$H$139+$B$94-$B$96)/$B$97</f>
        <v/>
      </c>
      <c r="E147" s="44">
        <f>(SUMPRODUCT($B$83:$G$83,$B$139:$G$139)+$D$102*$H$139+$B$94-$B$96)/$B$97</f>
        <v/>
      </c>
      <c r="F147" s="44">
        <f>(SUMPRODUCT($B$84:$G$84,$B$139:$G$139)+$E$102*$H$139+$B$94-$B$96)/$B$97</f>
        <v/>
      </c>
      <c r="G147" s="44">
        <f>SUMPRODUCT($B$11:$E$11,C147:F147)</f>
        <v/>
      </c>
    </row>
    <row r="148">
      <c r="A148" t="inlineStr">
        <is>
          <t>Perpetuity TV at the test rate:  Bear | Base | No growth | Bull | Weighted  (cols C-G)</t>
        </is>
      </c>
    </row>
    <row r="149">
      <c r="A149" t="inlineStr">
        <is>
          <t xml:space="preserve">  perpetuity TV</t>
        </is>
      </c>
      <c r="B149" s="19">
        <f>B60</f>
        <v/>
      </c>
      <c r="C149" s="44">
        <f>(SUMPRODUCT($B$81:$G$81,$B$135:$G$135)+(1+$B$125)*(1-$B$126)/($B$60-$B$125)*$B$124*$H$135+$B$94-$B$96)/$B$97</f>
        <v/>
      </c>
      <c r="D149" s="44">
        <f>(SUMPRODUCT($B$82:$G$82,$B$135:$G$135)+(1+$C$125)*(1-$C$126)/($B$60-$C$125)*$C$124*$H$135+$B$94-$B$96)/$B$97</f>
        <v/>
      </c>
      <c r="E149" s="44">
        <f>(SUMPRODUCT($B$83:$G$83,$B$135:$G$135)+(1+$D$125)*(1-$D$126)/($B$60-$D$125)*$D$124*$H$135+$B$94-$B$96)/$B$97</f>
        <v/>
      </c>
      <c r="F149" s="44">
        <f>(SUMPRODUCT($B$84:$G$84,$B$135:$G$135)+(1+$E$125)*(1-$E$126)/($B$60-$E$125)*$E$124*$H$135+$B$94-$B$96)/$B$97</f>
        <v/>
      </c>
      <c r="G149" s="44">
        <f>SUMPRODUCT($B$11:$E$11,C149:F149)</f>
        <v/>
      </c>
    </row>
    <row r="150">
      <c r="A150" t="inlineStr">
        <is>
          <t xml:space="preserve">  perpetuity TV</t>
        </is>
      </c>
      <c r="B150" s="19">
        <f>C60</f>
        <v/>
      </c>
      <c r="C150" s="44">
        <f>(SUMPRODUCT($B$81:$G$81,$B$136:$G$136)+(1+$B$125)*(1-$B$126)/($C$60-$B$125)*$B$124*$H$136+$B$94-$B$96)/$B$97</f>
        <v/>
      </c>
      <c r="D150" s="44">
        <f>(SUMPRODUCT($B$82:$G$82,$B$136:$G$136)+(1+$C$125)*(1-$C$126)/($C$60-$C$125)*$C$124*$H$136+$B$94-$B$96)/$B$97</f>
        <v/>
      </c>
      <c r="E150" s="44">
        <f>(SUMPRODUCT($B$83:$G$83,$B$136:$G$136)+(1+$D$125)*(1-$D$126)/($C$60-$D$125)*$D$124*$H$136+$B$94-$B$96)/$B$97</f>
        <v/>
      </c>
      <c r="F150" s="44">
        <f>(SUMPRODUCT($B$84:$G$84,$B$136:$G$136)+(1+$E$125)*(1-$E$126)/($C$60-$E$125)*$E$124*$H$136+$B$94-$B$96)/$B$97</f>
        <v/>
      </c>
      <c r="G150" s="44">
        <f>SUMPRODUCT($B$11:$E$11,C150:F150)</f>
        <v/>
      </c>
    </row>
    <row r="151">
      <c r="A151" t="inlineStr">
        <is>
          <t xml:space="preserve">  perpetuity TV</t>
        </is>
      </c>
      <c r="B151" s="19">
        <f>D60</f>
        <v/>
      </c>
      <c r="C151" s="44">
        <f>(SUMPRODUCT($B$81:$G$81,$B$137:$G$137)+(1+$B$125)*(1-$B$126)/($D$60-$B$125)*$B$124*$H$137+$B$94-$B$96)/$B$97</f>
        <v/>
      </c>
      <c r="D151" s="44">
        <f>(SUMPRODUCT($B$82:$G$82,$B$137:$G$137)+(1+$C$125)*(1-$C$126)/($D$60-$C$125)*$C$124*$H$137+$B$94-$B$96)/$B$97</f>
        <v/>
      </c>
      <c r="E151" s="44">
        <f>(SUMPRODUCT($B$83:$G$83,$B$137:$G$137)+(1+$D$125)*(1-$D$126)/($D$60-$D$125)*$D$124*$H$137+$B$94-$B$96)/$B$97</f>
        <v/>
      </c>
      <c r="F151" s="44">
        <f>(SUMPRODUCT($B$84:$G$84,$B$137:$G$137)+(1+$E$125)*(1-$E$126)/($D$60-$E$125)*$E$124*$H$137+$B$94-$B$96)/$B$97</f>
        <v/>
      </c>
      <c r="G151" s="44">
        <f>SUMPRODUCT($B$11:$E$11,C151:F151)</f>
        <v/>
      </c>
    </row>
    <row r="152">
      <c r="A152" t="inlineStr">
        <is>
          <t xml:space="preserve">  perpetuity TV</t>
        </is>
      </c>
      <c r="B152" s="19">
        <f>E60</f>
        <v/>
      </c>
      <c r="C152" s="44">
        <f>(SUMPRODUCT($B$81:$G$81,$B$138:$G$138)+(1+$B$125)*(1-$B$126)/($E$60-$B$125)*$B$124*$H$138+$B$94-$B$96)/$B$97</f>
        <v/>
      </c>
      <c r="D152" s="44">
        <f>(SUMPRODUCT($B$82:$G$82,$B$138:$G$138)+(1+$C$125)*(1-$C$126)/($E$60-$C$125)*$C$124*$H$138+$B$94-$B$96)/$B$97</f>
        <v/>
      </c>
      <c r="E152" s="44">
        <f>(SUMPRODUCT($B$83:$G$83,$B$138:$G$138)+(1+$D$125)*(1-$D$126)/($E$60-$D$125)*$D$124*$H$138+$B$94-$B$96)/$B$97</f>
        <v/>
      </c>
      <c r="F152" s="44">
        <f>(SUMPRODUCT($B$84:$G$84,$B$138:$G$138)+(1+$E$125)*(1-$E$126)/($E$60-$E$125)*$E$124*$H$138+$B$94-$B$96)/$B$97</f>
        <v/>
      </c>
      <c r="G152" s="44">
        <f>SUMPRODUCT($B$11:$E$11,C152:F152)</f>
        <v/>
      </c>
    </row>
    <row r="153">
      <c r="A153" t="inlineStr">
        <is>
          <t xml:space="preserve">  perpetuity TV</t>
        </is>
      </c>
      <c r="B153" s="19">
        <f>F60</f>
        <v/>
      </c>
      <c r="C153" s="44">
        <f>(SUMPRODUCT($B$81:$G$81,$B$139:$G$139)+(1+$B$125)*(1-$B$126)/($F$60-$B$125)*$B$124*$H$139+$B$94-$B$96)/$B$97</f>
        <v/>
      </c>
      <c r="D153" s="44">
        <f>(SUMPRODUCT($B$82:$G$82,$B$139:$G$139)+(1+$C$125)*(1-$C$126)/($F$60-$C$125)*$C$124*$H$139+$B$94-$B$96)/$B$97</f>
        <v/>
      </c>
      <c r="E153" s="44">
        <f>(SUMPRODUCT($B$83:$G$83,$B$139:$G$139)+(1+$D$125)*(1-$D$126)/($F$60-$D$125)*$D$124*$H$139+$B$94-$B$96)/$B$97</f>
        <v/>
      </c>
      <c r="F153" s="44">
        <f>(SUMPRODUCT($B$84:$G$84,$B$139:$G$139)+(1+$E$125)*(1-$E$126)/($F$60-$E$125)*$E$124*$H$139+$B$94-$B$96)/$B$97</f>
        <v/>
      </c>
      <c r="G153" s="44">
        <f>SUMPRODUCT($B$11:$E$11,C153:F153)</f>
        <v/>
      </c>
    </row>
    <row r="155">
      <c r="A155" s="7" t="inlineStr">
        <is>
          <t>3.15 Sensitivity: US$ per share by exit-multiple shift (at discount rate in 3.1)</t>
        </is>
      </c>
      <c r="B155" s="8" t="inlineStr">
        <is>
          <t>Shift</t>
        </is>
      </c>
      <c r="C155" s="8" t="inlineStr">
        <is>
          <t>Bear</t>
        </is>
      </c>
      <c r="D155" s="8" t="inlineStr">
        <is>
          <t>Base</t>
        </is>
      </c>
      <c r="E155" s="8" t="inlineStr">
        <is>
          <t>No growth</t>
        </is>
      </c>
      <c r="F155" s="8" t="inlineStr">
        <is>
          <t>Bull</t>
        </is>
      </c>
      <c r="G155" s="8" t="inlineStr">
        <is>
          <t>Weighted</t>
        </is>
      </c>
      <c r="H155" s="7" t="n"/>
      <c r="I155" s="7" t="n"/>
      <c r="J155" s="7" t="n"/>
      <c r="K155" s="7" t="n"/>
      <c r="L155" s="7" t="n"/>
    </row>
    <row r="156">
      <c r="A156" t="inlineStr">
        <is>
          <t xml:space="preserve">  multiple shift</t>
        </is>
      </c>
      <c r="B156" s="45">
        <f>$B$61</f>
        <v/>
      </c>
      <c r="C156" s="44">
        <f>($B$101+('2 Terminal Value'!B7+$B$61)*('2 Terminal Value'!B61+'2 Terminal Value'!B70)*$B$68+$B$94-$B$96)/$B$97</f>
        <v/>
      </c>
      <c r="D156" s="44">
        <f>($C$101+('2 Terminal Value'!C7+$B$61)*('2 Terminal Value'!C61+'2 Terminal Value'!C70)*$B$68+$B$94-$B$96)/$B$97</f>
        <v/>
      </c>
      <c r="E156" s="44">
        <f>($D$101+('2 Terminal Value'!D7+$B$61)*('2 Terminal Value'!D61+'2 Terminal Value'!D70)*$B$68+$B$94-$B$96)/$B$97</f>
        <v/>
      </c>
      <c r="F156" s="44">
        <f>($E$101+('2 Terminal Value'!E7+$B$61)*('2 Terminal Value'!E61+'2 Terminal Value'!E70)*$B$68+$B$94-$B$96)/$B$97</f>
        <v/>
      </c>
      <c r="G156" s="44">
        <f>SUMPRODUCT($B$11:$E$11,C156:F156)</f>
        <v/>
      </c>
    </row>
    <row r="157">
      <c r="A157" t="inlineStr">
        <is>
          <t xml:space="preserve">  multiple shift</t>
        </is>
      </c>
      <c r="B157" s="45">
        <f>$C$61</f>
        <v/>
      </c>
      <c r="C157" s="44">
        <f>($B$101+('2 Terminal Value'!B7+$C$61)*('2 Terminal Value'!B61+'2 Terminal Value'!B70)*$B$68+$B$94-$B$96)/$B$97</f>
        <v/>
      </c>
      <c r="D157" s="44">
        <f>($C$101+('2 Terminal Value'!C7+$C$61)*('2 Terminal Value'!C61+'2 Terminal Value'!C70)*$B$68+$B$94-$B$96)/$B$97</f>
        <v/>
      </c>
      <c r="E157" s="44">
        <f>($D$101+('2 Terminal Value'!D7+$C$61)*('2 Terminal Value'!D61+'2 Terminal Value'!D70)*$B$68+$B$94-$B$96)/$B$97</f>
        <v/>
      </c>
      <c r="F157" s="44">
        <f>($E$101+('2 Terminal Value'!E7+$C$61)*('2 Terminal Value'!E61+'2 Terminal Value'!E70)*$B$68+$B$94-$B$96)/$B$97</f>
        <v/>
      </c>
      <c r="G157" s="44">
        <f>SUMPRODUCT($B$11:$E$11,C157:F157)</f>
        <v/>
      </c>
    </row>
    <row r="158">
      <c r="A158" t="inlineStr">
        <is>
          <t xml:space="preserve">  multiple shift</t>
        </is>
      </c>
      <c r="B158" s="45">
        <f>$D$61</f>
        <v/>
      </c>
      <c r="C158" s="44">
        <f>($B$101+('2 Terminal Value'!B7+$D$61)*('2 Terminal Value'!B61+'2 Terminal Value'!B70)*$B$68+$B$94-$B$96)/$B$97</f>
        <v/>
      </c>
      <c r="D158" s="44">
        <f>($C$101+('2 Terminal Value'!C7+$D$61)*('2 Terminal Value'!C61+'2 Terminal Value'!C70)*$B$68+$B$94-$B$96)/$B$97</f>
        <v/>
      </c>
      <c r="E158" s="44">
        <f>($D$101+('2 Terminal Value'!D7+$D$61)*('2 Terminal Value'!D61+'2 Terminal Value'!D70)*$B$68+$B$94-$B$96)/$B$97</f>
        <v/>
      </c>
      <c r="F158" s="44">
        <f>($E$101+('2 Terminal Value'!E7+$D$61)*('2 Terminal Value'!E61+'2 Terminal Value'!E70)*$B$68+$B$94-$B$96)/$B$97</f>
        <v/>
      </c>
      <c r="G158" s="44">
        <f>SUMPRODUCT($B$11:$E$11,C158:F158)</f>
        <v/>
      </c>
    </row>
    <row r="159">
      <c r="A159" t="inlineStr">
        <is>
          <t xml:space="preserve">  multiple shift</t>
        </is>
      </c>
      <c r="B159" s="45">
        <f>$E$61</f>
        <v/>
      </c>
      <c r="C159" s="44">
        <f>($B$101+('2 Terminal Value'!B7+$E$61)*('2 Terminal Value'!B61+'2 Terminal Value'!B70)*$B$68+$B$94-$B$96)/$B$97</f>
        <v/>
      </c>
      <c r="D159" s="44">
        <f>($C$101+('2 Terminal Value'!C7+$E$61)*('2 Terminal Value'!C61+'2 Terminal Value'!C70)*$B$68+$B$94-$B$96)/$B$97</f>
        <v/>
      </c>
      <c r="E159" s="44">
        <f>($D$101+('2 Terminal Value'!D7+$E$61)*('2 Terminal Value'!D61+'2 Terminal Value'!D70)*$B$68+$B$94-$B$96)/$B$97</f>
        <v/>
      </c>
      <c r="F159" s="44">
        <f>($E$101+('2 Terminal Value'!E7+$E$61)*('2 Terminal Value'!E61+'2 Terminal Value'!E70)*$B$68+$B$94-$B$96)/$B$97</f>
        <v/>
      </c>
      <c r="G159" s="44">
        <f>SUMPRODUCT($B$11:$E$11,C159:F159)</f>
        <v/>
      </c>
    </row>
    <row r="160">
      <c r="A160" t="inlineStr">
        <is>
          <t xml:space="preserve">  multiple shift</t>
        </is>
      </c>
      <c r="B160" s="45">
        <f>$F$61</f>
        <v/>
      </c>
      <c r="C160" s="44">
        <f>($B$101+('2 Terminal Value'!B7+$F$61)*('2 Terminal Value'!B61+'2 Terminal Value'!B70)*$B$68+$B$94-$B$96)/$B$97</f>
        <v/>
      </c>
      <c r="D160" s="44">
        <f>($C$101+('2 Terminal Value'!C7+$F$61)*('2 Terminal Value'!C61+'2 Terminal Value'!C70)*$B$68+$B$94-$B$96)/$B$97</f>
        <v/>
      </c>
      <c r="E160" s="44">
        <f>($D$101+('2 Terminal Value'!D7+$F$61)*('2 Terminal Value'!D61+'2 Terminal Value'!D70)*$B$68+$B$94-$B$96)/$B$97</f>
        <v/>
      </c>
      <c r="F160" s="44">
        <f>($E$101+('2 Terminal Value'!E7+$F$61)*('2 Terminal Value'!E61+'2 Terminal Value'!E70)*$B$68+$B$94-$B$96)/$B$97</f>
        <v/>
      </c>
      <c r="G160" s="44">
        <f>SUMPRODUCT($B$11:$E$11,C160:F160)</f>
        <v/>
      </c>
    </row>
    <row r="161">
      <c r="A161" t="inlineStr">
        <is>
          <t xml:space="preserve">  multiple shift</t>
        </is>
      </c>
      <c r="B161" s="45">
        <f>$G$61</f>
        <v/>
      </c>
      <c r="C161" s="44">
        <f>($B$101+('2 Terminal Value'!B7+$G$61)*('2 Terminal Value'!B61+'2 Terminal Value'!B70)*$B$68+$B$94-$B$96)/$B$97</f>
        <v/>
      </c>
      <c r="D161" s="44">
        <f>($C$101+('2 Terminal Value'!C7+$G$61)*('2 Terminal Value'!C61+'2 Terminal Value'!C70)*$B$68+$B$94-$B$96)/$B$97</f>
        <v/>
      </c>
      <c r="E161" s="44">
        <f>($D$101+('2 Terminal Value'!D7+$G$61)*('2 Terminal Value'!D61+'2 Terminal Value'!D70)*$B$68+$B$94-$B$96)/$B$97</f>
        <v/>
      </c>
      <c r="F161" s="44">
        <f>($E$101+('2 Terminal Value'!E7+$G$61)*('2 Terminal Value'!E61+'2 Terminal Value'!E70)*$B$68+$B$94-$B$96)/$B$97</f>
        <v/>
      </c>
      <c r="G161" s="44">
        <f>SUMPRODUCT($B$11:$E$11,C161:F161)</f>
        <v/>
      </c>
    </row>
    <row r="163">
      <c r="A163" s="7" t="inlineStr">
        <is>
          <t>3.16 Bridge alternatives (weighted equity value, US$ per share)</t>
        </is>
      </c>
      <c r="B163" s="8" t="inlineStr">
        <is>
          <t>Adjust.</t>
        </is>
      </c>
      <c r="C163" s="8" t="inlineStr">
        <is>
          <t>US$/sh</t>
        </is>
      </c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inlineStr">
        <is>
          <t>Source / explanation</t>
        </is>
      </c>
    </row>
    <row r="164">
      <c r="A164" t="inlineStr">
        <is>
          <t>JH annual tax saving (deductible basis / life x tax rate)</t>
        </is>
      </c>
      <c r="B164" s="24">
        <f>($B$45+$B$46)/$B$47*$B$49</f>
        <v/>
      </c>
    </row>
    <row r="165">
      <c r="A165" t="inlineStr">
        <is>
          <t>JH tax shield, own PV at discount rate (half-years at both ends)</t>
        </is>
      </c>
      <c r="B165" s="24">
        <f>B164*($B$48+(1-(1+$B$7)^-($B$47-1))/$B$7+(1-$B$48)*(1+$B$7)^-$B$47)</f>
        <v/>
      </c>
      <c r="L165" s="10" t="inlineStr">
        <is>
          <t>Cross-check of Boyd's ~$150M</t>
        </is>
      </c>
    </row>
    <row r="166">
      <c r="A166" t="inlineStr">
        <is>
          <t>Headline</t>
        </is>
      </c>
      <c r="B166" s="24">
        <f>0</f>
        <v/>
      </c>
      <c r="C166" s="44">
        <f>($F$117-B166)/$B$97</f>
        <v/>
      </c>
    </row>
    <row r="167">
      <c r="A167" t="inlineStr">
        <is>
          <t>Also deduct net deferred tax liability</t>
        </is>
      </c>
      <c r="B167" s="24">
        <f>$B$31-$B$32</f>
        <v/>
      </c>
      <c r="C167" s="44">
        <f>($F$117-B167)/$B$97</f>
        <v/>
      </c>
    </row>
    <row r="168">
      <c r="A168" t="inlineStr">
        <is>
          <t>Drop all goodwill/intangible tax shields</t>
        </is>
      </c>
      <c r="B168" s="24">
        <f>$B$91+$B$92+$B$93</f>
        <v/>
      </c>
      <c r="C168" s="44">
        <f>($F$117-B168)/$B$97</f>
        <v/>
      </c>
    </row>
    <row r="169">
      <c r="A169" t="inlineStr">
        <is>
          <t>Drop only the legacy + other 2026 shields</t>
        </is>
      </c>
      <c r="B169" s="24">
        <f>$B$92+$B$93</f>
        <v/>
      </c>
      <c r="C169" s="44">
        <f>($F$117-B169)/$B$97</f>
        <v/>
      </c>
    </row>
    <row r="170">
      <c r="A170" t="inlineStr">
        <is>
          <t>JH at own-formula PV instead of Boyd's estimate</t>
        </is>
      </c>
      <c r="B170" s="24">
        <f>$B$91-$B$165</f>
        <v/>
      </c>
      <c r="C170" s="44">
        <f>($F$117-B170)/$B$97</f>
        <v/>
      </c>
    </row>
    <row r="171">
      <c r="A171" t="inlineStr">
        <is>
          <t>Count all Jun-26 cash as excess</t>
        </is>
      </c>
      <c r="B171" s="24">
        <f>-($B$19-$B$87)</f>
        <v/>
      </c>
      <c r="C171" s="44">
        <f>($F$117-B171)/$B$97</f>
        <v/>
      </c>
    </row>
    <row r="172">
      <c r="A172" t="inlineStr">
        <is>
          <t>Lease liabilities also deducted (WRONG: double count)</t>
        </is>
      </c>
      <c r="B172" s="24">
        <f>$B$29+$B$30</f>
        <v/>
      </c>
      <c r="C172" s="44">
        <f>($F$117-B172)/$B$97</f>
        <v/>
      </c>
    </row>
    <row r="173">
      <c r="A173" t="inlineStr">
        <is>
          <t>All plan options issued, no proceeds</t>
        </is>
      </c>
      <c r="B173" s="24">
        <f>0</f>
        <v/>
      </c>
      <c r="C173" s="44">
        <f>$F$117/($B$97+$B$55/1000000)</f>
        <v/>
      </c>
    </row>
    <row r="175">
      <c r="A175" s="7" t="inlineStr">
        <is>
          <t>3.17 Sanity checks (Base case)</t>
        </is>
      </c>
      <c r="B175" s="8" t="inlineStr">
        <is>
          <t>Value</t>
        </is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inlineStr">
        <is>
          <t>Source / explanation</t>
        </is>
      </c>
    </row>
    <row r="176">
      <c r="A176" t="inlineStr">
        <is>
          <t>Base EV / FY2026E EBITDA after rent</t>
        </is>
      </c>
      <c r="B176" s="35">
        <f>C104/'1 Earnings'!F418</f>
        <v/>
      </c>
    </row>
    <row r="177">
      <c r="A177" t="inlineStr">
        <is>
          <t>Base EV / FY2027E EBITDA after rent</t>
        </is>
      </c>
      <c r="B177" s="35">
        <f>C104/'1 Earnings'!G418</f>
        <v/>
      </c>
    </row>
    <row r="178">
      <c r="A178" t="inlineStr">
        <is>
          <t>Base EV / FY2026E Owners' Earnings</t>
        </is>
      </c>
      <c r="B178" s="35">
        <f>C104/'1 Earnings'!F423</f>
        <v/>
      </c>
    </row>
    <row r="179">
      <c r="A179" t="inlineStr">
        <is>
          <t>Base EV / FY2027E Owners' Earnings</t>
        </is>
      </c>
      <c r="B179" s="35">
        <f>C104/'1 Earnings'!G423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2026-09-29T19:10:48Z</dcterms:created>
  <dcterms:modified xmlns:dcterms="http://purl.org/dc/terms/" xmlns:xsi="http://www.w3.org/2001/XMLSchema-instance" xsi:type="dcterms:W3CDTF">2026-09-29T19:10:48Z</dcterms:modified>
</cp:coreProperties>
</file>