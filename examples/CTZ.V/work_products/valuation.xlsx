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Owners Earnings" sheetId="2" state="visible" r:id="rId2"/>
    <sheet xmlns:r="http://schemas.openxmlformats.org/officeDocument/2006/relationships" name="Valu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%"/>
    <numFmt numFmtId="165" formatCode="0.0&quot;x&quot;"/>
    <numFmt numFmtId="166" formatCode="0.0000"/>
    <numFmt numFmtId="167" formatCode="#,##0.0"/>
    <numFmt numFmtId="168" formatCode="0.000"/>
    <numFmt numFmtId="169" formatCode="$#,##0.00"/>
    <numFmt numFmtId="170" formatCode="0.00&quot;x&quot;"/>
  </numFmts>
  <fonts count="8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  <sz val="9"/>
    </font>
    <font>
      <b val="1"/>
      <sz val="10"/>
    </font>
    <font>
      <b val="1"/>
      <color rgb="000000C0"/>
      <sz val="10"/>
    </font>
    <font>
      <b val="1"/>
      <color rgb="00FFFFFF"/>
      <sz val="11"/>
    </font>
    <font>
      <sz val="10"/>
    </font>
    <font>
      <i val="1"/>
      <color rgb="00808080"/>
      <sz val="8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EDEDED"/>
      </patternFill>
    </fill>
    <fill>
      <patternFill patternType="solid">
        <fgColor rgb="00D9E1F2"/>
      </patternFill>
    </fill>
    <fill>
      <patternFill patternType="solid">
        <fgColor rgb="00F2F9F2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top style="thin">
        <color rgb="00404040"/>
      </top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3" borderId="0" pivotButton="0" quotePrefix="0" xfId="0"/>
    <xf numFmtId="0" fontId="0" fillId="3" borderId="0" pivotButton="0" quotePrefix="0" xfId="0"/>
    <xf numFmtId="0" fontId="6" fillId="0" borderId="0" pivotButton="0" quotePrefix="0" xfId="0"/>
    <xf numFmtId="164" fontId="4" fillId="2" borderId="1" pivotButton="0" quotePrefix="0" xfId="0"/>
    <xf numFmtId="0" fontId="7" fillId="0" borderId="0" pivotButton="0" quotePrefix="0" xfId="0"/>
    <xf numFmtId="3" fontId="4" fillId="2" borderId="1" pivotButton="0" quotePrefix="0" xfId="0"/>
    <xf numFmtId="1" fontId="4" fillId="2" borderId="1" pivotButton="0" quotePrefix="0" xfId="0"/>
    <xf numFmtId="3" fontId="3" fillId="0" borderId="0" pivotButton="0" quotePrefix="0" xfId="0"/>
    <xf numFmtId="165" fontId="4" fillId="2" borderId="1" pivotButton="0" quotePrefix="0" xfId="0"/>
    <xf numFmtId="165" fontId="6" fillId="0" borderId="0" pivotButton="0" quotePrefix="0" xfId="0"/>
    <xf numFmtId="10" fontId="4" fillId="2" borderId="1" pivotButton="0" quotePrefix="0" xfId="0"/>
    <xf numFmtId="3" fontId="6" fillId="0" borderId="0" pivotButton="0" quotePrefix="0" xfId="0"/>
    <xf numFmtId="0" fontId="3" fillId="4" borderId="0" applyAlignment="1" pivotButton="0" quotePrefix="0" xfId="0">
      <alignment horizontal="right"/>
    </xf>
    <xf numFmtId="166" fontId="4" fillId="2" borderId="1" pivotButton="0" quotePrefix="0" xfId="0"/>
    <xf numFmtId="167" fontId="4" fillId="2" borderId="1" pivotButton="0" quotePrefix="0" xfId="0"/>
    <xf numFmtId="0" fontId="3" fillId="5" borderId="0" pivotButton="0" quotePrefix="0" xfId="0"/>
    <xf numFmtId="0" fontId="3" fillId="6" borderId="0" applyAlignment="1" pivotButton="0" quotePrefix="0" xfId="0">
      <alignment horizontal="right"/>
    </xf>
    <xf numFmtId="2" fontId="4" fillId="2" borderId="1" pivotButton="0" quotePrefix="0" xfId="0"/>
    <xf numFmtId="164" fontId="6" fillId="0" borderId="0" pivotButton="0" quotePrefix="0" xfId="0"/>
    <xf numFmtId="3" fontId="2" fillId="0" borderId="0" pivotButton="0" quotePrefix="0" xfId="0"/>
    <xf numFmtId="3" fontId="3" fillId="0" borderId="2" pivotButton="0" quotePrefix="0" xfId="0"/>
    <xf numFmtId="3" fontId="3" fillId="5" borderId="2" pivotButton="0" quotePrefix="0" xfId="0"/>
    <xf numFmtId="166" fontId="6" fillId="0" borderId="0" pivotButton="0" quotePrefix="0" xfId="0"/>
    <xf numFmtId="167" fontId="6" fillId="0" borderId="0" pivotButton="0" quotePrefix="0" xfId="0"/>
    <xf numFmtId="168" fontId="6" fillId="0" borderId="0" pivotButton="0" quotePrefix="0" xfId="0"/>
    <xf numFmtId="2" fontId="6" fillId="0" borderId="0" pivotButton="0" quotePrefix="0" xfId="0"/>
    <xf numFmtId="3" fontId="3" fillId="5" borderId="0" pivotButton="0" quotePrefix="0" xfId="0"/>
    <xf numFmtId="0" fontId="3" fillId="4" borderId="0" applyAlignment="1" pivotButton="0" quotePrefix="0" xfId="0">
      <alignment horizontal="right" wrapText="1"/>
    </xf>
    <xf numFmtId="166" fontId="3" fillId="0" borderId="0" pivotButton="0" quotePrefix="0" xfId="0"/>
    <xf numFmtId="0" fontId="3" fillId="0" borderId="0" applyAlignment="1" pivotButton="0" quotePrefix="0" xfId="0">
      <alignment horizontal="right"/>
    </xf>
    <xf numFmtId="169" fontId="3" fillId="5" borderId="2" pivotButton="0" quotePrefix="0" xfId="0"/>
    <xf numFmtId="169" fontId="3" fillId="5" borderId="0" pivotButton="0" quotePrefix="0" xfId="0"/>
    <xf numFmtId="169" fontId="6" fillId="0" borderId="0" pivotButton="0" quotePrefix="0" xfId="0"/>
    <xf numFmtId="165" fontId="3" fillId="4" borderId="0" applyAlignment="1" pivotButton="0" quotePrefix="0" xfId="0">
      <alignment horizontal="right"/>
    </xf>
    <xf numFmtId="17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3" customWidth="1" min="12" max="12"/>
    <col width="13" customWidth="1" min="13" max="13"/>
    <col width="13" customWidth="1" min="14" max="14"/>
    <col width="13" customWidth="1" min="15" max="15"/>
    <col width="95" customWidth="1" min="17" max="17"/>
  </cols>
  <sheetData>
    <row r="1">
      <c r="B1" s="1" t="inlineStr">
        <is>
          <t>NamSys Inc. (TSXV: CTZ) -- valuation model INPUTS</t>
        </is>
      </c>
    </row>
    <row r="2">
      <c r="B2" s="2" t="inlineStr">
        <is>
          <t>All Canadian dollars. Fiscal year ends October 31. Every cell shaded BEIGE with BLUE BOLD text is a hard-coded input; change it and the whole model re-computes. Black cells are formulas. Column Q carries the source for each input.</t>
        </is>
      </c>
    </row>
    <row r="3"/>
    <row r="4">
      <c r="B4" s="3" t="inlineStr">
        <is>
          <t>LEGEND:</t>
        </is>
      </c>
      <c r="C4" s="4" t="inlineStr">
        <is>
          <t>input</t>
        </is>
      </c>
      <c r="D4" s="2" t="inlineStr">
        <is>
          <t>= editable input</t>
        </is>
      </c>
    </row>
    <row r="5"/>
    <row r="6">
      <c r="B6" s="5" t="inlineStr">
        <is>
          <t>1. VALUATION ASSUMPTIONS  (VAL s1)</t>
        </is>
      </c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</row>
    <row r="7">
      <c r="B7" s="7" t="inlineStr">
        <is>
          <t>Discount rate (r)</t>
        </is>
      </c>
      <c r="C7" s="8" t="n">
        <v>0.1</v>
      </c>
      <c r="Q7" s="9" t="inlineStr">
        <is>
          <t>VAL s1 DISCOUNT_RATE -- set by the brief, not independently derived; sensitised on the Valuation sheet</t>
        </is>
      </c>
    </row>
    <row r="8">
      <c r="B8" s="7" t="inlineStr">
        <is>
          <t>Diluted shares outstanding</t>
        </is>
      </c>
      <c r="C8" s="10" t="n">
        <v>27459593</v>
      </c>
      <c r="Q8" s="9" t="inlineStr">
        <is>
          <t>MDQ2 line 114: weighted-average diluted shares, 3 months ended Apr 30 2026</t>
        </is>
      </c>
    </row>
    <row r="9">
      <c r="B9" s="7" t="inlineStr">
        <is>
          <t>Cross-check: H1 FY2026 diluted shares</t>
        </is>
      </c>
      <c r="C9" s="10" t="n">
        <v>27498422</v>
      </c>
      <c r="Q9" s="9" t="inlineStr">
        <is>
          <t>FSQ2 line 85: six months ended Apr 30 2026 (used only as a cross-check)</t>
        </is>
      </c>
    </row>
    <row r="10">
      <c r="B10" s="7" t="inlineStr">
        <is>
          <t>Cash at April 30, 2026</t>
        </is>
      </c>
      <c r="C10" s="10" t="n">
        <v>940082</v>
      </c>
      <c r="Q10" s="9" t="inlineStr">
        <is>
          <t>FSQ2 balance sheet / OE s4</t>
        </is>
      </c>
    </row>
    <row r="11">
      <c r="B11" s="7" t="inlineStr">
        <is>
          <t>Short-term investments at April 30, 2026</t>
        </is>
      </c>
      <c r="C11" s="10" t="n">
        <v>6425965</v>
      </c>
      <c r="Q11" s="9" t="inlineStr">
        <is>
          <t>FSQ2 balance sheet (cashable GICs) / OE s4</t>
        </is>
      </c>
    </row>
    <row r="12">
      <c r="B12" s="7" t="inlineStr">
        <is>
          <t>Debt</t>
        </is>
      </c>
      <c r="C12" s="10" t="n">
        <v>0</v>
      </c>
      <c r="Q12" s="9" t="inlineStr">
        <is>
          <t>OE s2 pt1, quoting FY2025 MD&amp;A: 'the Company has no debt outstanding'</t>
        </is>
      </c>
    </row>
    <row r="13">
      <c r="B13" s="7" t="inlineStr">
        <is>
          <t>Contingent employee termination commitment</t>
        </is>
      </c>
      <c r="C13" s="10" t="n">
        <v>1100000</v>
      </c>
      <c r="Q13" s="9" t="inlineStr">
        <is>
          <t>FS25 Note 13 / OE s3.1 -- payable only on termination without cause</t>
        </is>
      </c>
    </row>
    <row r="14">
      <c r="B14" s="7" t="inlineStr">
        <is>
          <t>Treat that commitment as debt? (1 = yes, 0 = no)</t>
        </is>
      </c>
      <c r="C14" s="11" t="n">
        <v>0</v>
      </c>
      <c r="Q14" s="9" t="inlineStr">
        <is>
          <t>VAL s3.3/s5 -- base case is 0 (contingent, not a certain obligation)</t>
        </is>
      </c>
    </row>
    <row r="15">
      <c r="B15" s="3" t="inlineStr">
        <is>
          <t>= Standalone assets (cash + short-term investments)</t>
        </is>
      </c>
      <c r="C15" s="12">
        <f>$C$10+$C$11</f>
        <v/>
      </c>
      <c r="Q15" s="9" t="inlineStr">
        <is>
          <t>VAL s3.3 CASH_AND_STI_APR26 = 940,082 + 6,425,965</t>
        </is>
      </c>
    </row>
    <row r="16">
      <c r="B16" s="3" t="inlineStr">
        <is>
          <t>= Total debt-like deduction</t>
        </is>
      </c>
      <c r="C16" s="12">
        <f>$C$12+$C$14*$C$13</f>
        <v/>
      </c>
    </row>
    <row r="17">
      <c r="B17" s="7" t="inlineStr">
        <is>
          <t>Scenario shown on the 'Owners Earnings' sheet</t>
        </is>
      </c>
      <c r="C17" s="11" t="n">
        <v>1</v>
      </c>
      <c r="D17" s="2" t="inlineStr">
        <is>
          <t>1 = Base, 2 = Bull, 3 = Bear (no cost response), 4 = Bear (right-sizes)</t>
        </is>
      </c>
    </row>
    <row r="18"/>
    <row r="19">
      <c r="B19" s="5" t="inlineStr">
        <is>
          <t>2. TERMINAL MULTIPLE ON FY2030E OWNERS' EARNINGS  (TV s5/s6)</t>
        </is>
      </c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</row>
    <row r="20">
      <c r="B20" s="7" t="inlineStr">
        <is>
          <t>Low end of defensible range</t>
        </is>
      </c>
      <c r="C20" s="13" t="n">
        <v>9</v>
      </c>
      <c r="Q20" s="9" t="inlineStr">
        <is>
          <t>TV s6 MULT_LOW -- mature low-growth microcap software cluster (TV s3)</t>
        </is>
      </c>
    </row>
    <row r="21">
      <c r="B21" s="7" t="inlineStr">
        <is>
          <t>Base case</t>
        </is>
      </c>
      <c r="C21" s="13" t="n">
        <v>12</v>
      </c>
      <c r="Q21" s="9" t="inlineStr">
        <is>
          <t>TV s6 MULT_BASE -- high quality (99% recurring, ~40% margin, no debt) offset by 37-39% top-3 concentration (TV s3.1/s3.2)</t>
        </is>
      </c>
    </row>
    <row r="22">
      <c r="B22" s="7" t="inlineStr">
        <is>
          <t>High end of defensible range</t>
        </is>
      </c>
      <c r="C22" s="13" t="n">
        <v>15</v>
      </c>
      <c r="Q22" s="9" t="inlineStr">
        <is>
          <t>TV s6 MULT_HIGH -- high-margin microcap software / take-private cluster</t>
        </is>
      </c>
    </row>
    <row r="23">
      <c r="B23" s="7" t="inlineStr">
        <is>
          <t>Bear scenarios (both variants)</t>
        </is>
      </c>
      <c r="C23" s="13" t="n">
        <v>8</v>
      </c>
      <c r="Q23" s="9" t="inlineStr">
        <is>
          <t>TV s6 diagonal -- the multiple co-moves with the scenario</t>
        </is>
      </c>
    </row>
    <row r="24">
      <c r="B24" s="3" t="inlineStr">
        <is>
          <t>Scenario-consistent multiple: Bull</t>
        </is>
      </c>
      <c r="C24" s="14">
        <f>$C$22</f>
        <v/>
      </c>
      <c r="Q24" s="9" t="inlineStr">
        <is>
          <t>TV s6: bull pairs with 15x</t>
        </is>
      </c>
    </row>
    <row r="25"/>
    <row r="26">
      <c r="B26" s="5" t="inlineStr">
        <is>
          <t>3. NORMALISATION AND TAX CONSTANTS  (OE s2)</t>
        </is>
      </c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</row>
    <row r="27">
      <c r="B27" s="7" t="inlineStr">
        <is>
          <t>Statutory tax rate</t>
        </is>
      </c>
      <c r="C27" s="15" t="n">
        <v>0.265</v>
      </c>
      <c r="Q27" s="9" t="inlineStr">
        <is>
          <t>MDA25: 'The basic rate of 26.50% was applied'</t>
        </is>
      </c>
    </row>
    <row r="28">
      <c r="B28" s="7" t="inlineStr">
        <is>
          <t>Normalised bad debt expense (4-yr average)</t>
        </is>
      </c>
      <c r="C28" s="16">
        <f>AVERAGE(C37:F37)</f>
        <v/>
      </c>
      <c r="Q28" s="9" t="inlineStr">
        <is>
          <t>OE s2.1 NORM_BAD_DEBT -- simple average of reported FY2022-FY2025 bad debt expense</t>
        </is>
      </c>
    </row>
    <row r="29">
      <c r="B29" s="7" t="inlineStr">
        <is>
          <t>Normalised share-based compensation (FY2023-FY2025 avg)</t>
        </is>
      </c>
      <c r="C29" s="16">
        <f>AVERAGE(D38:F38)</f>
        <v/>
      </c>
      <c r="Q29" s="9" t="inlineStr">
        <is>
          <t>OE s2.1 NORM_SBC -- average of the only three years with a live grant; cross-checks to the Dec-2022 grant fair value of $357,566 over 3 years = $119,189</t>
        </is>
      </c>
    </row>
    <row r="30">
      <c r="B30" s="7" t="inlineStr">
        <is>
          <t>Forecast other permanent tax difference, per year</t>
        </is>
      </c>
      <c r="C30" s="10" t="n">
        <v>1300</v>
      </c>
      <c r="Q30" s="9" t="inlineStr">
        <is>
          <t>FC PERM_DIFF -- Note 9 unexplained residual, FY2025 $1,385 / TTM $1,162 (OE s2.2e); held flat forward</t>
        </is>
      </c>
    </row>
    <row r="31"/>
    <row r="32">
      <c r="B32" s="5" t="inlineStr">
        <is>
          <t>4. REPORTED HISTORICAL FINANCIALS  (all from primary_sources)</t>
        </is>
      </c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</row>
    <row r="33">
      <c r="B33" s="2" t="inlineStr">
        <is>
          <t>TTM Apr-26 = FY2025 + H1 FY2026 - H1 FY2025 (OE script, TTM Period)</t>
        </is>
      </c>
    </row>
    <row r="34">
      <c r="C34" s="17" t="inlineStr">
        <is>
          <t>FY2022A</t>
        </is>
      </c>
      <c r="D34" s="17" t="inlineStr">
        <is>
          <t>FY2023A</t>
        </is>
      </c>
      <c r="E34" s="17" t="inlineStr">
        <is>
          <t>FY2024A</t>
        </is>
      </c>
      <c r="F34" s="17" t="inlineStr">
        <is>
          <t>FY2025A</t>
        </is>
      </c>
      <c r="M34" s="17" t="inlineStr">
        <is>
          <t>H1 FY2025</t>
        </is>
      </c>
      <c r="N34" s="17" t="inlineStr">
        <is>
          <t>H1 FY2026</t>
        </is>
      </c>
      <c r="O34" s="17" t="inlineStr">
        <is>
          <t>TTM Apr-26</t>
        </is>
      </c>
    </row>
    <row r="35">
      <c r="B35" s="7" t="inlineStr">
        <is>
          <t>Revenue</t>
        </is>
      </c>
      <c r="C35" s="10" t="n">
        <v>5394781</v>
      </c>
      <c r="D35" s="10" t="n">
        <v>6093020</v>
      </c>
      <c r="E35" s="10" t="n">
        <v>6840146</v>
      </c>
      <c r="F35" s="10" t="n">
        <v>7891605</v>
      </c>
      <c r="M35" s="10" t="n">
        <v>3951863</v>
      </c>
      <c r="N35" s="10" t="n">
        <v>4267406</v>
      </c>
      <c r="O35" s="16">
        <f>F35+N35-M35</f>
        <v/>
      </c>
      <c r="Q35" s="9" t="inlineStr">
        <is>
          <t>FS23/FS25/FSQ2 statements of operations</t>
        </is>
      </c>
    </row>
    <row r="36">
      <c r="B36" s="7" t="inlineStr">
        <is>
          <t>Operating income (reported)</t>
        </is>
      </c>
      <c r="C36" s="10" t="n">
        <v>1753157</v>
      </c>
      <c r="D36" s="10" t="n">
        <v>2107434</v>
      </c>
      <c r="E36" s="10" t="n">
        <v>2572018</v>
      </c>
      <c r="F36" s="10" t="n">
        <v>3146476</v>
      </c>
      <c r="M36" s="10" t="n">
        <v>1626795</v>
      </c>
      <c r="N36" s="10" t="n">
        <v>1779560</v>
      </c>
      <c r="O36" s="16">
        <f>F36+N36-M36</f>
        <v/>
      </c>
      <c r="Q36" s="9" t="inlineStr">
        <is>
          <t>FS23/FS25/FSQ2 -- after bad debt, SBC and depreciation</t>
        </is>
      </c>
    </row>
    <row r="37">
      <c r="B37" s="7" t="inlineStr">
        <is>
          <t>Bad debt expense (inside operating income)</t>
        </is>
      </c>
      <c r="C37" s="10" t="n">
        <v>2546</v>
      </c>
      <c r="D37" s="10" t="n">
        <v>23004</v>
      </c>
      <c r="E37" s="10" t="n">
        <v>0</v>
      </c>
      <c r="F37" s="10" t="n">
        <v>51330</v>
      </c>
      <c r="M37" s="10" t="n">
        <v>50746</v>
      </c>
      <c r="N37" s="10" t="n">
        <v>0</v>
      </c>
      <c r="O37" s="16">
        <f>F37+N37-M37</f>
        <v/>
      </c>
      <c r="Q37" s="9" t="inlineStr">
        <is>
          <t>FS23/FS24/FS25/FSQ2 expense note</t>
        </is>
      </c>
    </row>
    <row r="38">
      <c r="B38" s="7" t="inlineStr">
        <is>
          <t>Share-based compensation (inside operating income)</t>
        </is>
      </c>
      <c r="C38" s="10" t="n">
        <v>0</v>
      </c>
      <c r="D38" s="10" t="n">
        <v>191468</v>
      </c>
      <c r="E38" s="10" t="n">
        <v>114174</v>
      </c>
      <c r="F38" s="10" t="n">
        <v>47030</v>
      </c>
      <c r="M38" s="10" t="n">
        <v>27020</v>
      </c>
      <c r="N38" s="10" t="n">
        <v>4894</v>
      </c>
      <c r="O38" s="16">
        <f>F38+N38-M38</f>
        <v/>
      </c>
      <c r="Q38" s="9" t="inlineStr">
        <is>
          <t>FS25 Note 6 / FSQ2 Note 6</t>
        </is>
      </c>
    </row>
    <row r="39">
      <c r="B39" s="7" t="inlineStr">
        <is>
          <t>Depreciation of property and equipment</t>
        </is>
      </c>
      <c r="C39" s="10" t="n">
        <v>12028</v>
      </c>
      <c r="D39" s="10" t="n">
        <v>7191</v>
      </c>
      <c r="E39" s="10" t="n">
        <v>7023</v>
      </c>
      <c r="F39" s="10" t="n">
        <v>7465</v>
      </c>
      <c r="M39" s="10" t="n">
        <v>3449</v>
      </c>
      <c r="N39" s="10" t="n">
        <v>3623</v>
      </c>
      <c r="O39" s="16">
        <f>F39+N39-M39</f>
        <v/>
      </c>
      <c r="Q39" s="9" t="inlineStr">
        <is>
          <t>FS25 Note 4. FY2022 excludes $10,768 of right-of-use depreciation: that is a real rent cost, not a non-economic charge (OE s2.1)</t>
        </is>
      </c>
    </row>
    <row r="40">
      <c r="B40" s="7" t="inlineStr">
        <is>
          <t>Purchase of property and equipment (maintenance capex)</t>
        </is>
      </c>
      <c r="C40" s="10" t="n">
        <v>9311</v>
      </c>
      <c r="D40" s="10" t="n">
        <v>4982</v>
      </c>
      <c r="E40" s="10" t="n">
        <v>8259</v>
      </c>
      <c r="F40" s="10" t="n">
        <v>9661</v>
      </c>
      <c r="M40" s="10" t="n">
        <v>3998</v>
      </c>
      <c r="N40" s="10" t="n">
        <v>3595</v>
      </c>
      <c r="O40" s="16">
        <f>F40+N40-M40</f>
        <v/>
      </c>
      <c r="Q40" s="9" t="inlineStr">
        <is>
          <t>FS23/FS25/FSQ2 statements of cash flows -- investing activities</t>
        </is>
      </c>
    </row>
    <row r="41">
      <c r="B41" s="7" t="inlineStr">
        <is>
          <t>'Adjustments to determine taxable income' (Note 9)</t>
        </is>
      </c>
      <c r="C41" s="10" t="n">
        <v>1091</v>
      </c>
      <c r="D41" s="10" t="n">
        <v>73248</v>
      </c>
      <c r="E41" s="10" t="n">
        <v>33269</v>
      </c>
      <c r="F41" s="10" t="n">
        <v>13848</v>
      </c>
      <c r="M41" s="10" t="n">
        <v>7932</v>
      </c>
      <c r="N41" s="10" t="n">
        <v>1846</v>
      </c>
      <c r="O41" s="16">
        <f>F41+N41-M41</f>
        <v/>
      </c>
      <c r="Q41" s="9" t="inlineStr">
        <is>
          <t>FS23/FS24/FS25 Note 9 and FSQ2 Note 9 tax-rate reconciliation</t>
        </is>
      </c>
    </row>
    <row r="42">
      <c r="B42" s="7" t="inlineStr">
        <is>
          <t>Memo: reported net income</t>
        </is>
      </c>
      <c r="C42" s="10" t="n">
        <v>1394440</v>
      </c>
      <c r="D42" s="10" t="n">
        <v>1614875</v>
      </c>
      <c r="E42" s="10" t="n">
        <v>2090475</v>
      </c>
      <c r="F42" s="10" t="n">
        <v>2486109</v>
      </c>
      <c r="M42" s="10" t="n">
        <v>1259346</v>
      </c>
      <c r="N42" s="10" t="n">
        <v>1312064</v>
      </c>
      <c r="O42" s="16">
        <f>F42+N42-M42</f>
        <v/>
      </c>
      <c r="Q42" s="9" t="inlineStr">
        <is>
          <t>FS23/FS25/FSQ2</t>
        </is>
      </c>
    </row>
    <row r="43">
      <c r="B43" s="7" t="inlineStr">
        <is>
          <t>Memo: interest income (EXCLUDED from owners' earnings)</t>
        </is>
      </c>
      <c r="C43" s="10" t="n">
        <v>5812</v>
      </c>
      <c r="D43" s="10" t="n">
        <v>195112</v>
      </c>
      <c r="E43" s="10" t="n">
        <v>291840</v>
      </c>
      <c r="F43" s="10" t="n">
        <v>265771</v>
      </c>
      <c r="M43" s="10" t="n">
        <v>132073</v>
      </c>
      <c r="N43" s="10" t="n">
        <v>111013</v>
      </c>
      <c r="O43" s="16">
        <f>F43+N43-M43</f>
        <v/>
      </c>
      <c r="Q43" s="9" t="inlineStr">
        <is>
          <t>FS23/FS25/FSQ2 -- excluded per OE s2.2(a); the portfolio is added separately</t>
        </is>
      </c>
    </row>
    <row r="44">
      <c r="B44" s="7" t="inlineStr">
        <is>
          <t>Memo: FX gain / (loss) (normalised to nil)</t>
        </is>
      </c>
      <c r="C44" s="10" t="n">
        <v>139768</v>
      </c>
      <c r="D44" s="10" t="n">
        <v>-5780</v>
      </c>
      <c r="E44" s="10" t="n">
        <v>25590</v>
      </c>
      <c r="F44" s="10" t="n">
        <v>-10945</v>
      </c>
      <c r="M44" s="10" t="n">
        <v>-34680</v>
      </c>
      <c r="N44" s="10" t="n">
        <v>-102941</v>
      </c>
      <c r="O44" s="16">
        <f>F44+N44-M44</f>
        <v/>
      </c>
      <c r="Q44" s="9" t="inlineStr">
        <is>
          <t>FS23/FS25/FSQ2 -- below operating income, normalised to nil (OE s2)</t>
        </is>
      </c>
    </row>
    <row r="45">
      <c r="B45" s="7" t="inlineStr">
        <is>
          <t>Memo: cash flow from operating activities</t>
        </is>
      </c>
      <c r="C45" s="10" t="n">
        <v>962018</v>
      </c>
      <c r="D45" s="10" t="n">
        <v>1659749</v>
      </c>
      <c r="E45" s="10" t="n">
        <v>2508076</v>
      </c>
      <c r="F45" s="10" t="n">
        <v>2196505</v>
      </c>
      <c r="M45" s="10" t="n">
        <v>1223129</v>
      </c>
      <c r="N45" s="10" t="n">
        <v>1497265</v>
      </c>
      <c r="O45" s="16">
        <f>F45+N45-M45</f>
        <v/>
      </c>
      <c r="Q45" s="9" t="inlineStr">
        <is>
          <t>FS23/FS25/FSQ2. The H1 FY2026 figure of 1,497,265 is the cash already inside the Apr-30-26 balance -- VAL s3.1 nets it out of the t=0 flow</t>
        </is>
      </c>
    </row>
    <row r="46"/>
    <row r="47">
      <c r="B47" s="5" t="inlineStr">
        <is>
          <t>5. FY2025 REVENUE BASE AND GEOGRAPHY  (the forecast starting point, FC s2/s3)</t>
        </is>
      </c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</row>
    <row r="48">
      <c r="B48" s="7" t="inlineStr">
        <is>
          <t xml:space="preserve">    FY2025 revenue -- US</t>
        </is>
      </c>
      <c r="C48" s="10" t="n">
        <v>5979328</v>
      </c>
      <c r="Q48" s="9" t="inlineStr">
        <is>
          <t>FS25 Note 7 geographic revenue</t>
        </is>
      </c>
    </row>
    <row r="49">
      <c r="B49" s="7" t="inlineStr">
        <is>
          <t xml:space="preserve">    FY2025 revenue -- Mexico</t>
        </is>
      </c>
      <c r="C49" s="10" t="n">
        <v>846155</v>
      </c>
      <c r="Q49" s="9" t="inlineStr">
        <is>
          <t>FS25 Note 7 geographic revenue</t>
        </is>
      </c>
    </row>
    <row r="50">
      <c r="B50" s="7" t="inlineStr">
        <is>
          <t xml:space="preserve">    FY2025 revenue -- Canada</t>
        </is>
      </c>
      <c r="C50" s="10" t="n">
        <v>286682</v>
      </c>
      <c r="Q50" s="9" t="inlineStr">
        <is>
          <t>FS25 Note 7 geographic revenue</t>
        </is>
      </c>
    </row>
    <row r="51">
      <c r="B51" s="7" t="inlineStr">
        <is>
          <t xml:space="preserve">    FY2025 revenue -- Dominican Republic</t>
        </is>
      </c>
      <c r="C51" s="10" t="n">
        <v>275378</v>
      </c>
      <c r="Q51" s="9" t="inlineStr">
        <is>
          <t>FS25 Note 7 geographic revenue</t>
        </is>
      </c>
    </row>
    <row r="52">
      <c r="B52" s="7" t="inlineStr">
        <is>
          <t xml:space="preserve">    FY2025 revenue -- Puerto Rico</t>
        </is>
      </c>
      <c r="C52" s="10" t="n">
        <v>262573</v>
      </c>
      <c r="Q52" s="9" t="inlineStr">
        <is>
          <t>FS25 Note 7 geographic revenue</t>
        </is>
      </c>
    </row>
    <row r="53">
      <c r="B53" s="7" t="inlineStr">
        <is>
          <t xml:space="preserve">    FY2025 revenue -- Other</t>
        </is>
      </c>
      <c r="C53" s="10" t="n">
        <v>241489</v>
      </c>
      <c r="Q53" s="9" t="inlineStr">
        <is>
          <t>FS25 Note 7 geographic revenue</t>
        </is>
      </c>
    </row>
    <row r="54">
      <c r="B54" s="7" t="inlineStr">
        <is>
          <t>Check: geographic total less reported FY2025 revenue</t>
        </is>
      </c>
      <c r="C54" s="16">
        <f>SUM(C48:C53)-F35</f>
        <v/>
      </c>
      <c r="Q54" s="9" t="inlineStr">
        <is>
          <t>must be zero</t>
        </is>
      </c>
    </row>
    <row r="55">
      <c r="B55" s="7" t="inlineStr">
        <is>
          <t>USD/CAD average rate, FY2025</t>
        </is>
      </c>
      <c r="C55" s="18" t="n">
        <v>1.4009</v>
      </c>
      <c r="Q55" s="9" t="inlineStr">
        <is>
          <t>Knowledge Store ID 11 -- Bank of Canada monthly-average USD/CAD, FY2025 fiscal-year average</t>
        </is>
      </c>
    </row>
    <row r="56">
      <c r="B56" s="7" t="inlineStr">
        <is>
          <t>Legacy largest-customer share of FY2025 revenue</t>
        </is>
      </c>
      <c r="C56" s="8" t="n">
        <v>0.159</v>
      </c>
      <c r="Q56" s="9" t="inlineStr">
        <is>
          <t>FS25 Note 7: largest customer 15.9% of revenue. FC s1b shows by elimination that this account must sit in the US country bucket</t>
        </is>
      </c>
    </row>
    <row r="57">
      <c r="B57" s="2" t="inlineStr">
        <is>
          <t>Derived FY2025 starting buckets (FC SECTION 4 'START'). ~96% of revenue is invoiced in USD (FSQ2 Note 11), so the non-Canadian buckets are carried in USD and translated each year.</t>
        </is>
      </c>
    </row>
    <row r="58">
      <c r="B58" s="7" t="inlineStr">
        <is>
          <t xml:space="preserve">    US base excluding the legacy account (USD)</t>
        </is>
      </c>
      <c r="C58" s="16">
        <f>(C48-$C$56*F35)/$C$55</f>
        <v/>
      </c>
    </row>
    <row r="59">
      <c r="B59" s="7" t="inlineStr">
        <is>
          <t xml:space="preserve">    Legacy largest US account (USD)</t>
        </is>
      </c>
      <c r="C59" s="16">
        <f>$C$56*F35/$C$55</f>
        <v/>
      </c>
    </row>
    <row r="60">
      <c r="B60" s="7" t="inlineStr">
        <is>
          <t xml:space="preserve">    Mexico -- inferred single account (USD)</t>
        </is>
      </c>
      <c r="C60" s="16">
        <f>C49/$C$55</f>
        <v/>
      </c>
    </row>
    <row r="61">
      <c r="B61" s="7" t="inlineStr">
        <is>
          <t xml:space="preserve">    Other international: DR + PR + Other (USD)</t>
        </is>
      </c>
      <c r="C61" s="16">
        <f>(C51+C52+C53)/$C$55</f>
        <v/>
      </c>
    </row>
    <row r="62">
      <c r="B62" s="7" t="inlineStr">
        <is>
          <t xml:space="preserve">    Canada (CAD -- not translated)</t>
        </is>
      </c>
      <c r="C62" s="16">
        <f>C50</f>
        <v/>
      </c>
    </row>
    <row r="63"/>
    <row r="64">
      <c r="B64" s="5" t="inlineStr">
        <is>
          <t>6. FY2025 COST BASE  (the forecast cost starting point, FC s4)</t>
        </is>
      </c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</row>
    <row r="65">
      <c r="B65" s="7" t="inlineStr">
        <is>
          <t>Cost of sales (total)</t>
        </is>
      </c>
      <c r="C65" s="10" t="n">
        <v>2813196</v>
      </c>
      <c r="Q65" s="9" t="inlineStr">
        <is>
          <t>FS25 statement of operations</t>
        </is>
      </c>
    </row>
    <row r="66">
      <c r="B66" s="7" t="inlineStr">
        <is>
          <t xml:space="preserve">   of which Note 14 compensation</t>
        </is>
      </c>
      <c r="C66" s="10" t="n">
        <v>1739266</v>
      </c>
      <c r="Q66" s="9" t="inlineStr">
        <is>
          <t>FS25 Note 14</t>
        </is>
      </c>
    </row>
    <row r="67">
      <c r="B67" s="7" t="inlineStr">
        <is>
          <t>Selling expense (total)</t>
        </is>
      </c>
      <c r="C67" s="10" t="n">
        <v>714618</v>
      </c>
      <c r="Q67" s="9" t="inlineStr">
        <is>
          <t>FS25 statement of operations</t>
        </is>
      </c>
    </row>
    <row r="68">
      <c r="B68" s="7" t="inlineStr">
        <is>
          <t xml:space="preserve">   of which Note 14 compensation</t>
        </is>
      </c>
      <c r="C68" s="10" t="n">
        <v>486478</v>
      </c>
      <c r="Q68" s="9" t="inlineStr">
        <is>
          <t>FS25 Note 14</t>
        </is>
      </c>
    </row>
    <row r="69">
      <c r="B69" s="7" t="inlineStr">
        <is>
          <t>General and administration (total)</t>
        </is>
      </c>
      <c r="C69" s="10" t="n">
        <v>1165985</v>
      </c>
      <c r="Q69" s="9" t="inlineStr">
        <is>
          <t>FS25 statement of operations</t>
        </is>
      </c>
    </row>
    <row r="70">
      <c r="B70" s="7" t="inlineStr">
        <is>
          <t xml:space="preserve">   of which Note 14 compensation</t>
        </is>
      </c>
      <c r="C70" s="10" t="n">
        <v>555762</v>
      </c>
      <c r="Q70" s="9" t="inlineStr">
        <is>
          <t>FS25 Note 14</t>
        </is>
      </c>
    </row>
    <row r="71">
      <c r="B71" s="7" t="inlineStr">
        <is>
          <t>Average headcount, FY2025</t>
        </is>
      </c>
      <c r="C71" s="19" t="n">
        <v>17</v>
      </c>
      <c r="Q71" s="9" t="inlineStr">
        <is>
          <t>AM25: 'stable at 17 employees'. AM26: 'up to 21 employees today' (Apr 2026)</t>
        </is>
      </c>
    </row>
    <row r="72">
      <c r="B72" s="3" t="inlineStr">
        <is>
          <t>= Cash compensation (Note 14 total less reported SBC)</t>
        </is>
      </c>
      <c r="C72" s="12">
        <f>C66+C68+C70-F38</f>
        <v/>
      </c>
      <c r="Q72" s="9" t="inlineStr">
        <is>
          <t>FC CASH_COMP_FY2025 = 2,781,506 - 47,030</t>
        </is>
      </c>
    </row>
    <row r="73">
      <c r="B73" s="3" t="inlineStr">
        <is>
          <t>= Cash compensation per head</t>
        </is>
      </c>
      <c r="C73" s="12">
        <f>$C$72/C71</f>
        <v/>
      </c>
      <c r="Q73" s="9" t="inlineStr">
        <is>
          <t>FC COMP_PER_HEAD_FY2025 -- the unit cost driven forward by headcount x wage inflation</t>
        </is>
      </c>
    </row>
    <row r="74">
      <c r="B74" s="3" t="inlineStr">
        <is>
          <t>= Non-compensation cost of sales (hosting, support, etc.)</t>
        </is>
      </c>
      <c r="C74" s="12">
        <f>C65-C66</f>
        <v/>
      </c>
      <c r="Q74" s="9" t="inlineStr">
        <is>
          <t>FC COS_NONCOMP_FY2025</t>
        </is>
      </c>
    </row>
    <row r="75">
      <c r="B75" s="3" t="inlineStr">
        <is>
          <t>= Non-compensation selling</t>
        </is>
      </c>
      <c r="C75" s="12">
        <f>C67-C68</f>
        <v/>
      </c>
      <c r="Q75" s="9" t="inlineStr">
        <is>
          <t>FC SELL_NONCOMP_FY2025</t>
        </is>
      </c>
    </row>
    <row r="76">
      <c r="B76" s="3" t="inlineStr">
        <is>
          <t>= Non-compensation G&amp;A</t>
        </is>
      </c>
      <c r="C76" s="12">
        <f>C69-C70</f>
        <v/>
      </c>
      <c r="Q76" s="9" t="inlineStr">
        <is>
          <t>FC GA_NONCOMP_FY2025</t>
        </is>
      </c>
    </row>
    <row r="77">
      <c r="B77" s="7" t="inlineStr">
        <is>
          <t>Check: rebuilt FY2025 operating income less reported</t>
        </is>
      </c>
      <c r="C77" s="16">
        <f>(F35-($C$72+F38+$C$74+$C$76+$C$75+F37))-F36</f>
        <v/>
      </c>
      <c r="Q77" s="9" t="inlineStr">
        <is>
          <t>FC s4b back-test: must be zero -- the cost build reproduces reported FY2025 operating income exactly</t>
        </is>
      </c>
    </row>
    <row r="78"/>
    <row r="79">
      <c r="B79" s="5" t="inlineStr">
        <is>
          <t>7. FORECAST DRIVERS BY SCENARIO  (FC s4 SCENARIOS; all cells editable)</t>
        </is>
      </c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</row>
    <row r="80">
      <c r="B80" s="20" t="inlineStr">
        <is>
          <t>SCENARIO: Base</t>
        </is>
      </c>
      <c r="Q80" s="9" t="inlineStr">
        <is>
          <t>FC s4/s5 Base: legacy US account -20%/yr, Mexico rollout decelerates, headcount to 26 by FY2030E</t>
        </is>
      </c>
    </row>
    <row r="81">
      <c r="G81" s="21" t="inlineStr">
        <is>
          <t>FY2026E</t>
        </is>
      </c>
      <c r="H81" s="21" t="inlineStr">
        <is>
          <t>FY2027E</t>
        </is>
      </c>
      <c r="I81" s="21" t="inlineStr">
        <is>
          <t>FY2028E</t>
        </is>
      </c>
      <c r="J81" s="21" t="inlineStr">
        <is>
          <t>FY2029E</t>
        </is>
      </c>
      <c r="K81" s="21" t="inlineStr">
        <is>
          <t>FY2030E</t>
        </is>
      </c>
    </row>
    <row r="82">
      <c r="B82" s="7" t="inlineStr">
        <is>
          <t xml:space="preserve">    US ex-legacy revenue growth (constant currency, USD)</t>
        </is>
      </c>
      <c r="G82" s="8" t="n">
        <v>0.13</v>
      </c>
      <c r="H82" s="8" t="n">
        <v>0.11</v>
      </c>
      <c r="I82" s="8" t="n">
        <v>0.095</v>
      </c>
      <c r="J82" s="8" t="n">
        <v>0.08</v>
      </c>
      <c r="K82" s="8" t="n">
        <v>0.07000000000000001</v>
      </c>
    </row>
    <row r="83">
      <c r="B83" s="7" t="inlineStr">
        <is>
          <t xml:space="preserve">    Legacy largest US account growth (USD)</t>
        </is>
      </c>
      <c r="G83" s="8" t="n">
        <v>-0.2</v>
      </c>
      <c r="H83" s="8" t="n">
        <v>-0.2</v>
      </c>
      <c r="I83" s="8" t="n">
        <v>-0.2</v>
      </c>
      <c r="J83" s="8" t="n">
        <v>-0.2</v>
      </c>
      <c r="K83" s="8" t="n">
        <v>-0.2</v>
      </c>
    </row>
    <row r="84">
      <c r="B84" s="7" t="inlineStr">
        <is>
          <t xml:space="preserve">    Mexico account growth (USD)</t>
        </is>
      </c>
      <c r="G84" s="8" t="n">
        <v>0.48</v>
      </c>
      <c r="H84" s="8" t="n">
        <v>0.18</v>
      </c>
      <c r="I84" s="8" t="n">
        <v>0.1</v>
      </c>
      <c r="J84" s="8" t="n">
        <v>0.07000000000000001</v>
      </c>
      <c r="K84" s="8" t="n">
        <v>0.05</v>
      </c>
    </row>
    <row r="85">
      <c r="B85" s="7" t="inlineStr">
        <is>
          <t xml:space="preserve">    Other international growth (USD)</t>
        </is>
      </c>
      <c r="G85" s="8" t="n">
        <v>0.09</v>
      </c>
      <c r="H85" s="8" t="n">
        <v>0.13</v>
      </c>
      <c r="I85" s="8" t="n">
        <v>0.15</v>
      </c>
      <c r="J85" s="8" t="n">
        <v>0.15</v>
      </c>
      <c r="K85" s="8" t="n">
        <v>0.14</v>
      </c>
    </row>
    <row r="86">
      <c r="B86" s="7" t="inlineStr">
        <is>
          <t xml:space="preserve">    Canada growth (CAD)</t>
        </is>
      </c>
      <c r="G86" s="8" t="n">
        <v>0.05</v>
      </c>
      <c r="H86" s="8" t="n">
        <v>0.05</v>
      </c>
      <c r="I86" s="8" t="n">
        <v>0.05</v>
      </c>
      <c r="J86" s="8" t="n">
        <v>0.05</v>
      </c>
      <c r="K86" s="8" t="n">
        <v>0.05</v>
      </c>
    </row>
    <row r="87">
      <c r="B87" s="7" t="inlineStr">
        <is>
          <t xml:space="preserve">    USD/CAD average rate</t>
        </is>
      </c>
      <c r="G87" s="18" t="n">
        <v>1.386</v>
      </c>
      <c r="H87" s="18" t="n">
        <v>1.39</v>
      </c>
      <c r="I87" s="18" t="n">
        <v>1.39</v>
      </c>
      <c r="J87" s="18" t="n">
        <v>1.39</v>
      </c>
      <c r="K87" s="18" t="n">
        <v>1.39</v>
      </c>
    </row>
    <row r="88">
      <c r="B88" s="7" t="inlineStr">
        <is>
          <t xml:space="preserve">    Average headcount</t>
        </is>
      </c>
      <c r="G88" s="19" t="n">
        <v>19.8</v>
      </c>
      <c r="H88" s="19" t="n">
        <v>22.5</v>
      </c>
      <c r="I88" s="19" t="n">
        <v>24</v>
      </c>
      <c r="J88" s="19" t="n">
        <v>25</v>
      </c>
      <c r="K88" s="19" t="n">
        <v>26</v>
      </c>
    </row>
    <row r="89">
      <c r="B89" s="7" t="inlineStr">
        <is>
          <t xml:space="preserve">    Wage inflation (per year, compounding)</t>
        </is>
      </c>
      <c r="G89" s="8" t="n">
        <v>0.035</v>
      </c>
      <c r="H89" s="8" t="n">
        <v>0.035</v>
      </c>
      <c r="I89" s="8" t="n">
        <v>0.035</v>
      </c>
      <c r="J89" s="8" t="n">
        <v>0.035</v>
      </c>
      <c r="K89" s="8" t="n">
        <v>0.035</v>
      </c>
    </row>
    <row r="90">
      <c r="B90" s="7" t="inlineStr">
        <is>
          <t xml:space="preserve">    Non-comp cost-of-sales elasticity to revenue growth</t>
        </is>
      </c>
      <c r="G90" s="22" t="n">
        <v>0.85</v>
      </c>
      <c r="H90" s="22" t="n">
        <v>0.85</v>
      </c>
      <c r="I90" s="22" t="n">
        <v>0.85</v>
      </c>
      <c r="J90" s="22" t="n">
        <v>0.85</v>
      </c>
      <c r="K90" s="22" t="n">
        <v>0.85</v>
      </c>
    </row>
    <row r="91">
      <c r="B91" s="7" t="inlineStr">
        <is>
          <t xml:space="preserve">    Non-comp selling expense, FY2026E level ($)</t>
        </is>
      </c>
      <c r="G91" s="10" t="n">
        <v>150000</v>
      </c>
      <c r="Q91" s="9" t="inlineStr">
        <is>
          <t>FC s4: non-comp selling is reset to $150,000 in FY2026E from the $228,140 FY2025A actual (a -34.3% step), then compounds at the scenario rate below. H1 FY2026 actual was $65,396, cut for 'lower travel and trade show attendance costs' (MDQ2); the forecast assumes management re-spends on the international strategy it is relying on</t>
        </is>
      </c>
    </row>
    <row r="92">
      <c r="B92" s="7" t="inlineStr">
        <is>
          <t xml:space="preserve">    Non-comp selling expense, growth per year thereafter</t>
        </is>
      </c>
      <c r="G92" s="8" t="n">
        <v>0.1</v>
      </c>
      <c r="Q92" s="9" t="inlineStr">
        <is>
          <t>FC s4 / FC md s4: 10%/yr. This is the only cost line whose growth rate differs by scenario, and deliberately so -- it is pure discretionary growth investment (MDA25 attributes FY2025's 61.6% selling-expense jump to a new European business-development position and trade-show travel)</t>
        </is>
      </c>
    </row>
    <row r="93">
      <c r="B93" s="7" t="inlineStr">
        <is>
          <t xml:space="preserve">    Non-comp G&amp;A growth</t>
        </is>
      </c>
      <c r="G93" s="8" t="n">
        <v>0.035</v>
      </c>
      <c r="H93" s="8" t="n">
        <v>0.035</v>
      </c>
      <c r="I93" s="8" t="n">
        <v>0.035</v>
      </c>
      <c r="J93" s="8" t="n">
        <v>0.035</v>
      </c>
      <c r="K93" s="8" t="n">
        <v>0.035</v>
      </c>
    </row>
    <row r="94"/>
    <row r="95">
      <c r="B95" s="20" t="inlineStr">
        <is>
          <t>SCENARIO: Bull</t>
        </is>
      </c>
      <c r="Q95" s="9" t="inlineStr">
        <is>
          <t>FC s4/s5 Bull: legacy stabilises, a 2nd Mexico-sized international account lands from FY2028E</t>
        </is>
      </c>
    </row>
    <row r="96">
      <c r="G96" s="21" t="inlineStr">
        <is>
          <t>FY2026E</t>
        </is>
      </c>
      <c r="H96" s="21" t="inlineStr">
        <is>
          <t>FY2027E</t>
        </is>
      </c>
      <c r="I96" s="21" t="inlineStr">
        <is>
          <t>FY2028E</t>
        </is>
      </c>
      <c r="J96" s="21" t="inlineStr">
        <is>
          <t>FY2029E</t>
        </is>
      </c>
      <c r="K96" s="21" t="inlineStr">
        <is>
          <t>FY2030E</t>
        </is>
      </c>
    </row>
    <row r="97">
      <c r="B97" s="7" t="inlineStr">
        <is>
          <t xml:space="preserve">    US ex-legacy revenue growth (constant currency, USD)</t>
        </is>
      </c>
      <c r="G97" s="8" t="n">
        <v>0.14</v>
      </c>
      <c r="H97" s="8" t="n">
        <v>0.13</v>
      </c>
      <c r="I97" s="8" t="n">
        <v>0.12</v>
      </c>
      <c r="J97" s="8" t="n">
        <v>0.11</v>
      </c>
      <c r="K97" s="8" t="n">
        <v>0.1</v>
      </c>
    </row>
    <row r="98">
      <c r="B98" s="7" t="inlineStr">
        <is>
          <t xml:space="preserve">    Legacy largest US account growth (USD)</t>
        </is>
      </c>
      <c r="G98" s="8" t="n">
        <v>-0.15</v>
      </c>
      <c r="H98" s="8" t="n">
        <v>-0.08</v>
      </c>
      <c r="I98" s="8" t="n">
        <v>-0.05</v>
      </c>
      <c r="J98" s="8" t="n">
        <v>-0.05</v>
      </c>
      <c r="K98" s="8" t="n">
        <v>-0.05</v>
      </c>
    </row>
    <row r="99">
      <c r="B99" s="7" t="inlineStr">
        <is>
          <t xml:space="preserve">    Mexico account growth (USD)</t>
        </is>
      </c>
      <c r="G99" s="8" t="n">
        <v>0.5</v>
      </c>
      <c r="H99" s="8" t="n">
        <v>0.25</v>
      </c>
      <c r="I99" s="8" t="n">
        <v>0.15</v>
      </c>
      <c r="J99" s="8" t="n">
        <v>0.1</v>
      </c>
      <c r="K99" s="8" t="n">
        <v>0.08</v>
      </c>
    </row>
    <row r="100">
      <c r="B100" s="7" t="inlineStr">
        <is>
          <t xml:space="preserve">    Other international growth (USD)</t>
        </is>
      </c>
      <c r="G100" s="8" t="n">
        <v>0.12</v>
      </c>
      <c r="H100" s="8" t="n">
        <v>0.2</v>
      </c>
      <c r="I100" s="8" t="n">
        <v>0.3</v>
      </c>
      <c r="J100" s="8" t="n">
        <v>0.28</v>
      </c>
      <c r="K100" s="8" t="n">
        <v>0.24</v>
      </c>
    </row>
    <row r="101">
      <c r="B101" s="7" t="inlineStr">
        <is>
          <t xml:space="preserve">    Canada growth (CAD)</t>
        </is>
      </c>
      <c r="G101" s="8" t="n">
        <v>0.06</v>
      </c>
      <c r="H101" s="8" t="n">
        <v>0.06</v>
      </c>
      <c r="I101" s="8" t="n">
        <v>0.06</v>
      </c>
      <c r="J101" s="8" t="n">
        <v>0.06</v>
      </c>
      <c r="K101" s="8" t="n">
        <v>0.06</v>
      </c>
    </row>
    <row r="102">
      <c r="B102" s="7" t="inlineStr">
        <is>
          <t xml:space="preserve">    USD/CAD average rate</t>
        </is>
      </c>
      <c r="G102" s="18" t="n">
        <v>1.386</v>
      </c>
      <c r="H102" s="18" t="n">
        <v>1.39</v>
      </c>
      <c r="I102" s="18" t="n">
        <v>1.39</v>
      </c>
      <c r="J102" s="18" t="n">
        <v>1.39</v>
      </c>
      <c r="K102" s="18" t="n">
        <v>1.39</v>
      </c>
    </row>
    <row r="103">
      <c r="B103" s="7" t="inlineStr">
        <is>
          <t xml:space="preserve">    Average headcount</t>
        </is>
      </c>
      <c r="G103" s="19" t="n">
        <v>19.8</v>
      </c>
      <c r="H103" s="19" t="n">
        <v>22</v>
      </c>
      <c r="I103" s="19" t="n">
        <v>23</v>
      </c>
      <c r="J103" s="19" t="n">
        <v>24</v>
      </c>
      <c r="K103" s="19" t="n">
        <v>25</v>
      </c>
    </row>
    <row r="104">
      <c r="B104" s="7" t="inlineStr">
        <is>
          <t xml:space="preserve">    Wage inflation (per year, compounding)</t>
        </is>
      </c>
      <c r="G104" s="8" t="n">
        <v>0.03</v>
      </c>
      <c r="H104" s="8" t="n">
        <v>0.03</v>
      </c>
      <c r="I104" s="8" t="n">
        <v>0.03</v>
      </c>
      <c r="J104" s="8" t="n">
        <v>0.03</v>
      </c>
      <c r="K104" s="8" t="n">
        <v>0.03</v>
      </c>
    </row>
    <row r="105">
      <c r="B105" s="7" t="inlineStr">
        <is>
          <t xml:space="preserve">    Non-comp cost-of-sales elasticity to revenue growth</t>
        </is>
      </c>
      <c r="G105" s="22" t="n">
        <v>0.75</v>
      </c>
      <c r="H105" s="22" t="n">
        <v>0.75</v>
      </c>
      <c r="I105" s="22" t="n">
        <v>0.75</v>
      </c>
      <c r="J105" s="22" t="n">
        <v>0.75</v>
      </c>
      <c r="K105" s="22" t="n">
        <v>0.75</v>
      </c>
    </row>
    <row r="106">
      <c r="B106" s="7" t="inlineStr">
        <is>
          <t xml:space="preserve">    Non-comp selling expense, FY2026E level ($)</t>
        </is>
      </c>
      <c r="G106" s="10" t="n">
        <v>150000</v>
      </c>
      <c r="Q106" s="9" t="inlineStr">
        <is>
          <t>FC s4: non-comp selling is reset to $150,000 in FY2026E from the $228,140 FY2025A actual (a -34.3% step), then compounds at the scenario rate below. H1 FY2026 actual was $65,396, cut for 'lower travel and trade show attendance costs' (MDQ2); the forecast assumes management re-spends on the international strategy it is relying on</t>
        </is>
      </c>
    </row>
    <row r="107">
      <c r="B107" s="7" t="inlineStr">
        <is>
          <t xml:space="preserve">    Non-comp selling expense, growth per year thereafter</t>
        </is>
      </c>
      <c r="G107" s="8" t="n">
        <v>0.14</v>
      </c>
      <c r="Q107" s="9" t="inlineStr">
        <is>
          <t>FC s4: 14%/yr -- a bull case that lands a second large international account on bear-case selling dollars would be internally inconsistent</t>
        </is>
      </c>
    </row>
    <row r="108">
      <c r="B108" s="7" t="inlineStr">
        <is>
          <t xml:space="preserve">    Non-comp G&amp;A growth</t>
        </is>
      </c>
      <c r="G108" s="8" t="n">
        <v>0.03</v>
      </c>
      <c r="H108" s="8" t="n">
        <v>0.03</v>
      </c>
      <c r="I108" s="8" t="n">
        <v>0.03</v>
      </c>
      <c r="J108" s="8" t="n">
        <v>0.03</v>
      </c>
      <c r="K108" s="8" t="n">
        <v>0.03</v>
      </c>
    </row>
    <row r="109"/>
    <row r="110">
      <c r="B110" s="20" t="inlineStr">
        <is>
          <t>SCENARIO: Bear - no cost response</t>
        </is>
      </c>
      <c r="Q110" s="9" t="inlineStr">
        <is>
          <t>FC s4/s5 Bear: legacy account lost outright in FY2028E, NO cost response (CM 4.4 revealed preference)</t>
        </is>
      </c>
    </row>
    <row r="111">
      <c r="G111" s="21" t="inlineStr">
        <is>
          <t>FY2026E</t>
        </is>
      </c>
      <c r="H111" s="21" t="inlineStr">
        <is>
          <t>FY2027E</t>
        </is>
      </c>
      <c r="I111" s="21" t="inlineStr">
        <is>
          <t>FY2028E</t>
        </is>
      </c>
      <c r="J111" s="21" t="inlineStr">
        <is>
          <t>FY2029E</t>
        </is>
      </c>
      <c r="K111" s="21" t="inlineStr">
        <is>
          <t>FY2030E</t>
        </is>
      </c>
    </row>
    <row r="112">
      <c r="B112" s="7" t="inlineStr">
        <is>
          <t xml:space="preserve">    US ex-legacy revenue growth (constant currency, USD)</t>
        </is>
      </c>
      <c r="G112" s="8" t="n">
        <v>0.11</v>
      </c>
      <c r="H112" s="8" t="n">
        <v>0.08</v>
      </c>
      <c r="I112" s="8" t="n">
        <v>0.06</v>
      </c>
      <c r="J112" s="8" t="n">
        <v>0.05</v>
      </c>
      <c r="K112" s="8" t="n">
        <v>0.04</v>
      </c>
    </row>
    <row r="113">
      <c r="B113" s="7" t="inlineStr">
        <is>
          <t xml:space="preserve">    Legacy largest US account growth (USD)</t>
        </is>
      </c>
      <c r="G113" s="8" t="n">
        <v>-0.25</v>
      </c>
      <c r="H113" s="8" t="n">
        <v>-0.3</v>
      </c>
      <c r="I113" s="8" t="n">
        <v>-1</v>
      </c>
      <c r="J113" s="8" t="n">
        <v>0</v>
      </c>
      <c r="K113" s="8" t="n">
        <v>0</v>
      </c>
    </row>
    <row r="114">
      <c r="B114" s="7" t="inlineStr">
        <is>
          <t xml:space="preserve">    Mexico account growth (USD)</t>
        </is>
      </c>
      <c r="G114" s="8" t="n">
        <v>0.4</v>
      </c>
      <c r="H114" s="8" t="n">
        <v>0.08</v>
      </c>
      <c r="I114" s="8" t="n">
        <v>0</v>
      </c>
      <c r="J114" s="8" t="n">
        <v>0</v>
      </c>
      <c r="K114" s="8" t="n">
        <v>0</v>
      </c>
    </row>
    <row r="115">
      <c r="B115" s="7" t="inlineStr">
        <is>
          <t xml:space="preserve">    Other international growth (USD)</t>
        </is>
      </c>
      <c r="G115" s="8" t="n">
        <v>0.08</v>
      </c>
      <c r="H115" s="8" t="n">
        <v>0.08</v>
      </c>
      <c r="I115" s="8" t="n">
        <v>0.08</v>
      </c>
      <c r="J115" s="8" t="n">
        <v>0.08</v>
      </c>
      <c r="K115" s="8" t="n">
        <v>0.08</v>
      </c>
    </row>
    <row r="116">
      <c r="B116" s="7" t="inlineStr">
        <is>
          <t xml:space="preserve">    Canada growth (CAD)</t>
        </is>
      </c>
      <c r="G116" s="8" t="n">
        <v>0.03</v>
      </c>
      <c r="H116" s="8" t="n">
        <v>0.03</v>
      </c>
      <c r="I116" s="8" t="n">
        <v>0.03</v>
      </c>
      <c r="J116" s="8" t="n">
        <v>0.03</v>
      </c>
      <c r="K116" s="8" t="n">
        <v>0.03</v>
      </c>
    </row>
    <row r="117">
      <c r="B117" s="7" t="inlineStr">
        <is>
          <t xml:space="preserve">    USD/CAD average rate</t>
        </is>
      </c>
      <c r="G117" s="18" t="n">
        <v>1.386</v>
      </c>
      <c r="H117" s="18" t="n">
        <v>1.39</v>
      </c>
      <c r="I117" s="18" t="n">
        <v>1.39</v>
      </c>
      <c r="J117" s="18" t="n">
        <v>1.39</v>
      </c>
      <c r="K117" s="18" t="n">
        <v>1.39</v>
      </c>
    </row>
    <row r="118">
      <c r="B118" s="7" t="inlineStr">
        <is>
          <t xml:space="preserve">    Average headcount</t>
        </is>
      </c>
      <c r="G118" s="19" t="n">
        <v>19.8</v>
      </c>
      <c r="H118" s="19" t="n">
        <v>22.5</v>
      </c>
      <c r="I118" s="19" t="n">
        <v>23.5</v>
      </c>
      <c r="J118" s="19" t="n">
        <v>24</v>
      </c>
      <c r="K118" s="19" t="n">
        <v>24</v>
      </c>
    </row>
    <row r="119">
      <c r="B119" s="7" t="inlineStr">
        <is>
          <t xml:space="preserve">    Wage inflation (per year, compounding)</t>
        </is>
      </c>
      <c r="G119" s="8" t="n">
        <v>0.045</v>
      </c>
      <c r="H119" s="8" t="n">
        <v>0.045</v>
      </c>
      <c r="I119" s="8" t="n">
        <v>0.045</v>
      </c>
      <c r="J119" s="8" t="n">
        <v>0.045</v>
      </c>
      <c r="K119" s="8" t="n">
        <v>0.045</v>
      </c>
    </row>
    <row r="120">
      <c r="B120" s="7" t="inlineStr">
        <is>
          <t xml:space="preserve">    Non-comp cost-of-sales elasticity to revenue growth</t>
        </is>
      </c>
      <c r="G120" s="22" t="n">
        <v>1</v>
      </c>
      <c r="H120" s="22" t="n">
        <v>1</v>
      </c>
      <c r="I120" s="22" t="n">
        <v>1</v>
      </c>
      <c r="J120" s="22" t="n">
        <v>1</v>
      </c>
      <c r="K120" s="22" t="n">
        <v>1</v>
      </c>
    </row>
    <row r="121">
      <c r="B121" s="7" t="inlineStr">
        <is>
          <t xml:space="preserve">    Non-comp selling expense, FY2026E level ($)</t>
        </is>
      </c>
      <c r="G121" s="10" t="n">
        <v>150000</v>
      </c>
      <c r="Q121" s="9" t="inlineStr">
        <is>
          <t>FC s4: non-comp selling is reset to $150,000 in FY2026E from the $228,140 FY2025A actual (a -34.3% step), then compounds at the scenario rate below. H1 FY2026 actual was $65,396, cut for 'lower travel and trade show attendance costs' (MDQ2); the forecast assumes management re-spends on the international strategy it is relying on</t>
        </is>
      </c>
    </row>
    <row r="122">
      <c r="B122" s="7" t="inlineStr">
        <is>
          <t xml:space="preserve">    Non-comp selling expense, growth per year thereafter</t>
        </is>
      </c>
      <c r="G122" s="8" t="n">
        <v>0.05</v>
      </c>
      <c r="Q122" s="9" t="inlineStr">
        <is>
          <t>FC s4: 5%/yr -- discretionary sales spend is throttled when growth slows, the behaviour MDQ2 already shows in H1 FY2026</t>
        </is>
      </c>
    </row>
    <row r="123">
      <c r="B123" s="7" t="inlineStr">
        <is>
          <t xml:space="preserve">    Non-comp G&amp;A growth</t>
        </is>
      </c>
      <c r="G123" s="8" t="n">
        <v>0.045</v>
      </c>
      <c r="H123" s="8" t="n">
        <v>0.045</v>
      </c>
      <c r="I123" s="8" t="n">
        <v>0.045</v>
      </c>
      <c r="J123" s="8" t="n">
        <v>0.045</v>
      </c>
      <c r="K123" s="8" t="n">
        <v>0.045</v>
      </c>
    </row>
    <row r="124"/>
    <row r="125">
      <c r="B125" s="20" t="inlineStr">
        <is>
          <t>SCENARIO: Bear - management right-sizes</t>
        </is>
      </c>
      <c r="Q125" s="9" t="inlineStr">
        <is>
          <t>FC s9b: same revenue path as Bear, but headcount frozen at 21 then trimmed to 20</t>
        </is>
      </c>
    </row>
    <row r="126">
      <c r="G126" s="21" t="inlineStr">
        <is>
          <t>FY2026E</t>
        </is>
      </c>
      <c r="H126" s="21" t="inlineStr">
        <is>
          <t>FY2027E</t>
        </is>
      </c>
      <c r="I126" s="21" t="inlineStr">
        <is>
          <t>FY2028E</t>
        </is>
      </c>
      <c r="J126" s="21" t="inlineStr">
        <is>
          <t>FY2029E</t>
        </is>
      </c>
      <c r="K126" s="21" t="inlineStr">
        <is>
          <t>FY2030E</t>
        </is>
      </c>
    </row>
    <row r="127">
      <c r="B127" s="7" t="inlineStr">
        <is>
          <t xml:space="preserve">    US ex-legacy revenue growth (constant currency, USD)</t>
        </is>
      </c>
      <c r="G127" s="8" t="n">
        <v>0.11</v>
      </c>
      <c r="H127" s="8" t="n">
        <v>0.08</v>
      </c>
      <c r="I127" s="8" t="n">
        <v>0.06</v>
      </c>
      <c r="J127" s="8" t="n">
        <v>0.05</v>
      </c>
      <c r="K127" s="8" t="n">
        <v>0.04</v>
      </c>
    </row>
    <row r="128">
      <c r="B128" s="7" t="inlineStr">
        <is>
          <t xml:space="preserve">    Legacy largest US account growth (USD)</t>
        </is>
      </c>
      <c r="G128" s="8" t="n">
        <v>-0.25</v>
      </c>
      <c r="H128" s="8" t="n">
        <v>-0.3</v>
      </c>
      <c r="I128" s="8" t="n">
        <v>-1</v>
      </c>
      <c r="J128" s="8" t="n">
        <v>0</v>
      </c>
      <c r="K128" s="8" t="n">
        <v>0</v>
      </c>
    </row>
    <row r="129">
      <c r="B129" s="7" t="inlineStr">
        <is>
          <t xml:space="preserve">    Mexico account growth (USD)</t>
        </is>
      </c>
      <c r="G129" s="8" t="n">
        <v>0.4</v>
      </c>
      <c r="H129" s="8" t="n">
        <v>0.08</v>
      </c>
      <c r="I129" s="8" t="n">
        <v>0</v>
      </c>
      <c r="J129" s="8" t="n">
        <v>0</v>
      </c>
      <c r="K129" s="8" t="n">
        <v>0</v>
      </c>
    </row>
    <row r="130">
      <c r="B130" s="7" t="inlineStr">
        <is>
          <t xml:space="preserve">    Other international growth (USD)</t>
        </is>
      </c>
      <c r="G130" s="8" t="n">
        <v>0.08</v>
      </c>
      <c r="H130" s="8" t="n">
        <v>0.08</v>
      </c>
      <c r="I130" s="8" t="n">
        <v>0.08</v>
      </c>
      <c r="J130" s="8" t="n">
        <v>0.08</v>
      </c>
      <c r="K130" s="8" t="n">
        <v>0.08</v>
      </c>
    </row>
    <row r="131">
      <c r="B131" s="7" t="inlineStr">
        <is>
          <t xml:space="preserve">    Canada growth (CAD)</t>
        </is>
      </c>
      <c r="G131" s="8" t="n">
        <v>0.03</v>
      </c>
      <c r="H131" s="8" t="n">
        <v>0.03</v>
      </c>
      <c r="I131" s="8" t="n">
        <v>0.03</v>
      </c>
      <c r="J131" s="8" t="n">
        <v>0.03</v>
      </c>
      <c r="K131" s="8" t="n">
        <v>0.03</v>
      </c>
    </row>
    <row r="132">
      <c r="B132" s="7" t="inlineStr">
        <is>
          <t xml:space="preserve">    USD/CAD average rate</t>
        </is>
      </c>
      <c r="G132" s="18" t="n">
        <v>1.386</v>
      </c>
      <c r="H132" s="18" t="n">
        <v>1.39</v>
      </c>
      <c r="I132" s="18" t="n">
        <v>1.39</v>
      </c>
      <c r="J132" s="18" t="n">
        <v>1.39</v>
      </c>
      <c r="K132" s="18" t="n">
        <v>1.39</v>
      </c>
    </row>
    <row r="133">
      <c r="B133" s="7" t="inlineStr">
        <is>
          <t xml:space="preserve">    Average headcount</t>
        </is>
      </c>
      <c r="G133" s="19" t="n">
        <v>19.8</v>
      </c>
      <c r="H133" s="19" t="n">
        <v>21</v>
      </c>
      <c r="I133" s="19" t="n">
        <v>21</v>
      </c>
      <c r="J133" s="19" t="n">
        <v>20</v>
      </c>
      <c r="K133" s="19" t="n">
        <v>20</v>
      </c>
    </row>
    <row r="134">
      <c r="B134" s="7" t="inlineStr">
        <is>
          <t xml:space="preserve">    Wage inflation (per year, compounding)</t>
        </is>
      </c>
      <c r="G134" s="8" t="n">
        <v>0.045</v>
      </c>
      <c r="H134" s="8" t="n">
        <v>0.045</v>
      </c>
      <c r="I134" s="8" t="n">
        <v>0.045</v>
      </c>
      <c r="J134" s="8" t="n">
        <v>0.045</v>
      </c>
      <c r="K134" s="8" t="n">
        <v>0.045</v>
      </c>
    </row>
    <row r="135">
      <c r="B135" s="7" t="inlineStr">
        <is>
          <t xml:space="preserve">    Non-comp cost-of-sales elasticity to revenue growth</t>
        </is>
      </c>
      <c r="G135" s="22" t="n">
        <v>1</v>
      </c>
      <c r="H135" s="22" t="n">
        <v>1</v>
      </c>
      <c r="I135" s="22" t="n">
        <v>1</v>
      </c>
      <c r="J135" s="22" t="n">
        <v>1</v>
      </c>
      <c r="K135" s="22" t="n">
        <v>1</v>
      </c>
    </row>
    <row r="136">
      <c r="B136" s="7" t="inlineStr">
        <is>
          <t xml:space="preserve">    Non-comp selling expense, FY2026E level ($)</t>
        </is>
      </c>
      <c r="G136" s="10" t="n">
        <v>150000</v>
      </c>
      <c r="Q136" s="9" t="inlineStr">
        <is>
          <t>FC s4: non-comp selling is reset to $150,000 in FY2026E from the $228,140 FY2025A actual (a -34.3% step), then compounds at the scenario rate below. H1 FY2026 actual was $65,396, cut for 'lower travel and trade show attendance costs' (MDQ2); the forecast assumes management re-spends on the international strategy it is relying on</t>
        </is>
      </c>
    </row>
    <row r="137">
      <c r="B137" s="7" t="inlineStr">
        <is>
          <t xml:space="preserve">    Non-comp selling expense, growth per year thereafter</t>
        </is>
      </c>
      <c r="G137" s="8" t="n">
        <v>0.05</v>
      </c>
      <c r="Q137" s="9" t="inlineStr">
        <is>
          <t>FC s4: 5%/yr, identical to the other bear variant; only headcount differs between the two</t>
        </is>
      </c>
    </row>
    <row r="138">
      <c r="B138" s="7" t="inlineStr">
        <is>
          <t xml:space="preserve">    Non-comp G&amp;A growth</t>
        </is>
      </c>
      <c r="G138" s="8" t="n">
        <v>0.045</v>
      </c>
      <c r="H138" s="8" t="n">
        <v>0.045</v>
      </c>
      <c r="I138" s="8" t="n">
        <v>0.045</v>
      </c>
      <c r="J138" s="8" t="n">
        <v>0.045</v>
      </c>
      <c r="K138" s="8" t="n">
        <v>0.045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91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3" customWidth="1" min="12" max="12"/>
    <col width="13" customWidth="1" min="13" max="13"/>
    <col width="13" customWidth="1" min="14" max="14"/>
    <col width="13" customWidth="1" min="15" max="15"/>
    <col width="95" customWidth="1" min="17" max="17"/>
  </cols>
  <sheetData>
    <row r="1">
      <c r="B1" s="1" t="inlineStr">
        <is>
          <t>NamSys Inc. -- historical and forecast OWNERS' EARNINGS</t>
        </is>
      </c>
    </row>
    <row r="2">
      <c r="B2" s="2" t="inlineStr">
        <is>
          <t>Columns C:F are reported actuals normalised per owners_earnings_and_roic.md; columns G:K are the driver-based forecast per forecast_earnings.md, shown side by side on the identical bridge. Column M is the TTM memo. The forecast scenario displayed is switched at Inputs!C17.</t>
        </is>
      </c>
    </row>
    <row r="3"/>
    <row r="4">
      <c r="B4" s="5" t="inlineStr">
        <is>
          <t>A. OWNERS' EARNINGS BRIDGE -- HISTORICAL (C:F) AND FORECAST (G:K) SIDE BY SIDE</t>
        </is>
      </c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</row>
    <row r="5">
      <c r="B5" s="2" t="inlineStr">
        <is>
          <t>Owners' earnings = reported operating income, normalised for bad debt and share-based compensation, plus depreciation less maintenance capex, taxed at 26.5% with non-deductible SBC grossed up. Interest income and FX are excluded (OE s2).</t>
        </is>
      </c>
    </row>
    <row r="6">
      <c r="C6" s="17" t="inlineStr">
        <is>
          <t>FY2022A</t>
        </is>
      </c>
      <c r="D6" s="17" t="inlineStr">
        <is>
          <t>FY2023A</t>
        </is>
      </c>
      <c r="E6" s="17" t="inlineStr">
        <is>
          <t>FY2024A</t>
        </is>
      </c>
      <c r="F6" s="17" t="inlineStr">
        <is>
          <t>FY2025A</t>
        </is>
      </c>
      <c r="G6" s="21" t="inlineStr">
        <is>
          <t>FY2026E</t>
        </is>
      </c>
      <c r="H6" s="21" t="inlineStr">
        <is>
          <t>FY2027E</t>
        </is>
      </c>
      <c r="I6" s="21" t="inlineStr">
        <is>
          <t>FY2028E</t>
        </is>
      </c>
      <c r="J6" s="21" t="inlineStr">
        <is>
          <t>FY2029E</t>
        </is>
      </c>
      <c r="K6" s="21" t="inlineStr">
        <is>
          <t>FY2030E</t>
        </is>
      </c>
      <c r="M6" s="17" t="inlineStr">
        <is>
          <t>TTM Apr-26</t>
        </is>
      </c>
    </row>
    <row r="7">
      <c r="B7" s="3" t="inlineStr">
        <is>
          <t>Revenue</t>
        </is>
      </c>
      <c r="C7" s="16">
        <f>Inputs!C35</f>
        <v/>
      </c>
      <c r="D7" s="16">
        <f>Inputs!D35</f>
        <v/>
      </c>
      <c r="E7" s="16">
        <f>Inputs!E35</f>
        <v/>
      </c>
      <c r="F7" s="16">
        <f>Inputs!F35</f>
        <v/>
      </c>
      <c r="G7" s="12">
        <f>CHOOSE(Inputs!$C$17,G53,G92,G131,G170)</f>
        <v/>
      </c>
      <c r="H7" s="12">
        <f>CHOOSE(Inputs!$C$17,H53,H92,H131,H170)</f>
        <v/>
      </c>
      <c r="I7" s="12">
        <f>CHOOSE(Inputs!$C$17,I53,I92,I131,I170)</f>
        <v/>
      </c>
      <c r="J7" s="12">
        <f>CHOOSE(Inputs!$C$17,J53,J92,J131,J170)</f>
        <v/>
      </c>
      <c r="K7" s="12">
        <f>CHOOSE(Inputs!$C$17,K53,K92,K131,K170)</f>
        <v/>
      </c>
      <c r="M7" s="16">
        <f>Inputs!O35</f>
        <v/>
      </c>
    </row>
    <row r="8">
      <c r="B8" s="7" t="inlineStr">
        <is>
          <t xml:space="preserve">    Revenue growth</t>
        </is>
      </c>
      <c r="D8" s="23">
        <f>D7/C7-1</f>
        <v/>
      </c>
      <c r="E8" s="23">
        <f>E7/D7-1</f>
        <v/>
      </c>
      <c r="F8" s="23">
        <f>F7/E7-1</f>
        <v/>
      </c>
      <c r="G8" s="23">
        <f>G7/F7-1</f>
        <v/>
      </c>
      <c r="H8" s="23">
        <f>H7/G7-1</f>
        <v/>
      </c>
      <c r="I8" s="23">
        <f>I7/H7-1</f>
        <v/>
      </c>
      <c r="J8" s="23">
        <f>J7/I7-1</f>
        <v/>
      </c>
      <c r="K8" s="23">
        <f>K7/J7-1</f>
        <v/>
      </c>
    </row>
    <row r="9">
      <c r="B9" s="3" t="inlineStr">
        <is>
          <t>Operating income</t>
        </is>
      </c>
      <c r="C9" s="16">
        <f>Inputs!C36</f>
        <v/>
      </c>
      <c r="D9" s="16">
        <f>Inputs!D36</f>
        <v/>
      </c>
      <c r="E9" s="16">
        <f>Inputs!E36</f>
        <v/>
      </c>
      <c r="F9" s="16">
        <f>Inputs!F36</f>
        <v/>
      </c>
      <c r="G9" s="12">
        <f>CHOOSE(Inputs!$C$17,G71,G110,G149,G188)</f>
        <v/>
      </c>
      <c r="H9" s="12">
        <f>CHOOSE(Inputs!$C$17,H71,H110,H149,H188)</f>
        <v/>
      </c>
      <c r="I9" s="12">
        <f>CHOOSE(Inputs!$C$17,I71,I110,I149,I188)</f>
        <v/>
      </c>
      <c r="J9" s="12">
        <f>CHOOSE(Inputs!$C$17,J71,J110,J149,J188)</f>
        <v/>
      </c>
      <c r="K9" s="12">
        <f>CHOOSE(Inputs!$C$17,K71,K110,K149,K188)</f>
        <v/>
      </c>
      <c r="M9" s="16">
        <f>Inputs!O36</f>
        <v/>
      </c>
      <c r="Q9" s="9" t="inlineStr">
        <is>
          <t>Actuals: as reported (FS23/FS25/FSQ2). Forecast: built bottom-up in section B below on a NORMALISED cost base</t>
        </is>
      </c>
    </row>
    <row r="10">
      <c r="B10" s="7" t="inlineStr">
        <is>
          <t xml:space="preserve">    Operating margin</t>
        </is>
      </c>
      <c r="C10" s="23">
        <f>C9/C7</f>
        <v/>
      </c>
      <c r="D10" s="23">
        <f>D9/D7</f>
        <v/>
      </c>
      <c r="E10" s="23">
        <f>E9/E7</f>
        <v/>
      </c>
      <c r="F10" s="23">
        <f>F9/F7</f>
        <v/>
      </c>
      <c r="G10" s="23">
        <f>G9/G7</f>
        <v/>
      </c>
      <c r="H10" s="23">
        <f>H9/H7</f>
        <v/>
      </c>
      <c r="I10" s="23">
        <f>I9/I7</f>
        <v/>
      </c>
      <c r="J10" s="23">
        <f>J9/J7</f>
        <v/>
      </c>
      <c r="K10" s="23">
        <f>K9/K7</f>
        <v/>
      </c>
      <c r="M10" s="23">
        <f>M9/M7</f>
        <v/>
      </c>
    </row>
    <row r="11"/>
    <row r="12">
      <c r="B12" s="3" t="inlineStr">
        <is>
          <t>Adjustments to reach owners' earnings (OE s2.1):</t>
        </is>
      </c>
    </row>
    <row r="13">
      <c r="B13" s="7" t="inlineStr">
        <is>
          <t xml:space="preserve">    + Reported bad debt expense</t>
        </is>
      </c>
      <c r="C13" s="16">
        <f>Inputs!C37</f>
        <v/>
      </c>
      <c r="D13" s="16">
        <f>Inputs!D37</f>
        <v/>
      </c>
      <c r="E13" s="16">
        <f>Inputs!E37</f>
        <v/>
      </c>
      <c r="F13" s="16">
        <f>Inputs!F37</f>
        <v/>
      </c>
      <c r="G13" s="24" t="n">
        <v>0</v>
      </c>
      <c r="H13" s="24" t="n">
        <v>0</v>
      </c>
      <c r="I13" s="24" t="n">
        <v>0</v>
      </c>
      <c r="J13" s="24" t="n">
        <v>0</v>
      </c>
      <c r="K13" s="24" t="n">
        <v>0</v>
      </c>
      <c r="M13" s="16">
        <f>Inputs!O37</f>
        <v/>
      </c>
    </row>
    <row r="14">
      <c r="B14" s="7" t="inlineStr">
        <is>
          <t xml:space="preserve">    - Normalised bad debt expense</t>
        </is>
      </c>
      <c r="C14" s="16">
        <f>-Inputs!$C$28</f>
        <v/>
      </c>
      <c r="D14" s="16">
        <f>-Inputs!$C$28</f>
        <v/>
      </c>
      <c r="E14" s="16">
        <f>-Inputs!$C$28</f>
        <v/>
      </c>
      <c r="F14" s="16">
        <f>-Inputs!$C$28</f>
        <v/>
      </c>
      <c r="G14" s="24" t="n">
        <v>0</v>
      </c>
      <c r="H14" s="24" t="n">
        <v>0</v>
      </c>
      <c r="I14" s="24" t="n">
        <v>0</v>
      </c>
      <c r="J14" s="24" t="n">
        <v>0</v>
      </c>
      <c r="K14" s="24" t="n">
        <v>0</v>
      </c>
      <c r="M14" s="16">
        <f>-Inputs!$C$28</f>
        <v/>
      </c>
      <c r="Q14" s="9" t="inlineStr">
        <is>
          <t>Zero in the forecast columns by construction: the forecast cost build in section B already charges NORMALISED bad debt and NORMALISED SBC, so there is nothing left to normalise</t>
        </is>
      </c>
    </row>
    <row r="15">
      <c r="B15" s="7" t="inlineStr">
        <is>
          <t xml:space="preserve">    + Reported share-based compensation</t>
        </is>
      </c>
      <c r="C15" s="16">
        <f>Inputs!C38</f>
        <v/>
      </c>
      <c r="D15" s="16">
        <f>Inputs!D38</f>
        <v/>
      </c>
      <c r="E15" s="16">
        <f>Inputs!E38</f>
        <v/>
      </c>
      <c r="F15" s="16">
        <f>Inputs!F38</f>
        <v/>
      </c>
      <c r="G15" s="24" t="n">
        <v>0</v>
      </c>
      <c r="H15" s="24" t="n">
        <v>0</v>
      </c>
      <c r="I15" s="24" t="n">
        <v>0</v>
      </c>
      <c r="J15" s="24" t="n">
        <v>0</v>
      </c>
      <c r="K15" s="24" t="n">
        <v>0</v>
      </c>
      <c r="M15" s="16">
        <f>Inputs!O38</f>
        <v/>
      </c>
    </row>
    <row r="16">
      <c r="B16" s="7" t="inlineStr">
        <is>
          <t xml:space="preserve">    - Normalised share-based compensation</t>
        </is>
      </c>
      <c r="C16" s="16">
        <f>-Inputs!$C$29</f>
        <v/>
      </c>
      <c r="D16" s="16">
        <f>-Inputs!$C$29</f>
        <v/>
      </c>
      <c r="E16" s="16">
        <f>-Inputs!$C$29</f>
        <v/>
      </c>
      <c r="F16" s="16">
        <f>-Inputs!$C$29</f>
        <v/>
      </c>
      <c r="G16" s="24" t="n">
        <v>0</v>
      </c>
      <c r="H16" s="24" t="n">
        <v>0</v>
      </c>
      <c r="I16" s="24" t="n">
        <v>0</v>
      </c>
      <c r="J16" s="24" t="n">
        <v>0</v>
      </c>
      <c r="K16" s="24" t="n">
        <v>0</v>
      </c>
      <c r="M16" s="16">
        <f>-Inputs!$C$29</f>
        <v/>
      </c>
    </row>
    <row r="17">
      <c r="B17" s="7" t="inlineStr">
        <is>
          <t xml:space="preserve">    + Depreciation of property and equipment</t>
        </is>
      </c>
      <c r="C17" s="16">
        <f>Inputs!C39</f>
        <v/>
      </c>
      <c r="D17" s="16">
        <f>Inputs!D39</f>
        <v/>
      </c>
      <c r="E17" s="16">
        <f>Inputs!E39</f>
        <v/>
      </c>
      <c r="F17" s="16">
        <f>Inputs!F39</f>
        <v/>
      </c>
      <c r="G17" s="16">
        <f>Inputs!$F$39</f>
        <v/>
      </c>
      <c r="H17" s="16">
        <f>Inputs!$F$39</f>
        <v/>
      </c>
      <c r="I17" s="16">
        <f>Inputs!$F$39</f>
        <v/>
      </c>
      <c r="J17" s="16">
        <f>Inputs!$F$39</f>
        <v/>
      </c>
      <c r="K17" s="16">
        <f>Inputs!$F$39</f>
        <v/>
      </c>
      <c r="M17" s="16">
        <f>Inputs!O39</f>
        <v/>
      </c>
    </row>
    <row r="18">
      <c r="B18" s="7" t="inlineStr">
        <is>
          <t xml:space="preserve">    - Maintenance capex (actual purchases of PP&amp;E)</t>
        </is>
      </c>
      <c r="C18" s="16">
        <f>-Inputs!C40</f>
        <v/>
      </c>
      <c r="D18" s="16">
        <f>-Inputs!D40</f>
        <v/>
      </c>
      <c r="E18" s="16">
        <f>-Inputs!E40</f>
        <v/>
      </c>
      <c r="F18" s="16">
        <f>-Inputs!F40</f>
        <v/>
      </c>
      <c r="G18" s="16">
        <f>-Inputs!$F$40</f>
        <v/>
      </c>
      <c r="H18" s="16">
        <f>-Inputs!$F$40</f>
        <v/>
      </c>
      <c r="I18" s="16">
        <f>-Inputs!$F$40</f>
        <v/>
      </c>
      <c r="J18" s="16">
        <f>-Inputs!$F$40</f>
        <v/>
      </c>
      <c r="K18" s="16">
        <f>-Inputs!$F$40</f>
        <v/>
      </c>
      <c r="M18" s="16">
        <f>-Inputs!O40</f>
        <v/>
      </c>
    </row>
    <row r="19">
      <c r="B19" s="3" t="inlineStr">
        <is>
          <t>= Normalised pre-tax owners' earnings</t>
        </is>
      </c>
      <c r="C19" s="25">
        <f>C9+SUM(C13:C18)</f>
        <v/>
      </c>
      <c r="D19" s="25">
        <f>D9+SUM(D13:D18)</f>
        <v/>
      </c>
      <c r="E19" s="25">
        <f>E9+SUM(E13:E18)</f>
        <v/>
      </c>
      <c r="F19" s="25">
        <f>F9+SUM(F13:F18)</f>
        <v/>
      </c>
      <c r="G19" s="25">
        <f>G9+SUM(G13:G18)</f>
        <v/>
      </c>
      <c r="H19" s="25">
        <f>H9+SUM(H13:H18)</f>
        <v/>
      </c>
      <c r="I19" s="25">
        <f>I9+SUM(I13:I18)</f>
        <v/>
      </c>
      <c r="J19" s="25">
        <f>J9+SUM(J13:J18)</f>
        <v/>
      </c>
      <c r="K19" s="25">
        <f>K9+SUM(K13:K18)</f>
        <v/>
      </c>
      <c r="M19" s="25">
        <f>M9+SUM(M13:M18)</f>
        <v/>
      </c>
    </row>
    <row r="20">
      <c r="B20" s="7" t="inlineStr">
        <is>
          <t xml:space="preserve">    - Normalised tax at the statutory rate on (pre-tax OE + normalised SBC)</t>
        </is>
      </c>
      <c r="C20" s="16">
        <f>-Inputs!$C$27*(C19+Inputs!$C$29)</f>
        <v/>
      </c>
      <c r="D20" s="16">
        <f>-Inputs!$C$27*(D19+Inputs!$C$29)</f>
        <v/>
      </c>
      <c r="E20" s="16">
        <f>-Inputs!$C$27*(E19+Inputs!$C$29)</f>
        <v/>
      </c>
      <c r="F20" s="16">
        <f>-Inputs!$C$27*(F19+Inputs!$C$29)</f>
        <v/>
      </c>
      <c r="G20" s="16">
        <f>-Inputs!$C$27*(G19+Inputs!$C$29)</f>
        <v/>
      </c>
      <c r="H20" s="16">
        <f>-Inputs!$C$27*(H19+Inputs!$C$29)</f>
        <v/>
      </c>
      <c r="I20" s="16">
        <f>-Inputs!$C$27*(I19+Inputs!$C$29)</f>
        <v/>
      </c>
      <c r="J20" s="16">
        <f>-Inputs!$C$27*(J19+Inputs!$C$29)</f>
        <v/>
      </c>
      <c r="K20" s="16">
        <f>-Inputs!$C$27*(K19+Inputs!$C$29)</f>
        <v/>
      </c>
      <c r="M20" s="16">
        <f>-Inputs!$C$27*(M19+Inputs!$C$29)</f>
        <v/>
      </c>
      <c r="Q20" s="9" t="inlineStr">
        <is>
          <t>Stock-option SBC is not deductible in Canada, so the taxable base is grossed up by normalised SBC (OE s2.2)</t>
        </is>
      </c>
    </row>
    <row r="21">
      <c r="B21" s="7" t="inlineStr">
        <is>
          <t xml:space="preserve">    - Other permanent tax differences</t>
        </is>
      </c>
      <c r="C21" s="16">
        <f>-(Inputs!C41-Inputs!C38*Inputs!$C$27)</f>
        <v/>
      </c>
      <c r="D21" s="16">
        <f>-(Inputs!D41-Inputs!D38*Inputs!$C$27)</f>
        <v/>
      </c>
      <c r="E21" s="16">
        <f>-(Inputs!E41-Inputs!E38*Inputs!$C$27)</f>
        <v/>
      </c>
      <c r="F21" s="16">
        <f>-(Inputs!F41-Inputs!F38*Inputs!$C$27)</f>
        <v/>
      </c>
      <c r="G21" s="16">
        <f>-Inputs!$C$30</f>
        <v/>
      </c>
      <c r="H21" s="16">
        <f>-Inputs!$C$30</f>
        <v/>
      </c>
      <c r="I21" s="16">
        <f>-Inputs!$C$30</f>
        <v/>
      </c>
      <c r="J21" s="16">
        <f>-Inputs!$C$30</f>
        <v/>
      </c>
      <c r="K21" s="16">
        <f>-Inputs!$C$30</f>
        <v/>
      </c>
      <c r="M21" s="16">
        <f>-(Inputs!O41-Inputs!O38*Inputs!$C$27)</f>
        <v/>
      </c>
      <c r="Q21" s="9" t="inlineStr">
        <is>
          <t>Actuals: Note 9 'adjustments to determine taxable income' less the part explained by non-deductible SBC. Forecast: held at the Inputs constant</t>
        </is>
      </c>
    </row>
    <row r="22">
      <c r="B22" s="3" t="inlineStr">
        <is>
          <t>= OWNERS' EARNINGS</t>
        </is>
      </c>
      <c r="C22" s="26">
        <f>C19+C20+C21</f>
        <v/>
      </c>
      <c r="D22" s="26">
        <f>D19+D20+D21</f>
        <v/>
      </c>
      <c r="E22" s="26">
        <f>E19+E20+E21</f>
        <v/>
      </c>
      <c r="F22" s="26">
        <f>F19+F20+F21</f>
        <v/>
      </c>
      <c r="G22" s="26">
        <f>G19+G20+G21</f>
        <v/>
      </c>
      <c r="H22" s="26">
        <f>H19+H20+H21</f>
        <v/>
      </c>
      <c r="I22" s="26">
        <f>I19+I20+I21</f>
        <v/>
      </c>
      <c r="J22" s="26">
        <f>J19+J20+J21</f>
        <v/>
      </c>
      <c r="K22" s="26">
        <f>K19+K20+K21</f>
        <v/>
      </c>
      <c r="M22" s="26">
        <f>M19+M20+M21</f>
        <v/>
      </c>
    </row>
    <row r="23">
      <c r="B23" s="7" t="inlineStr">
        <is>
          <t xml:space="preserve">    Owners' earnings margin</t>
        </is>
      </c>
      <c r="C23" s="23">
        <f>C22/C7</f>
        <v/>
      </c>
      <c r="D23" s="23">
        <f>D22/D7</f>
        <v/>
      </c>
      <c r="E23" s="23">
        <f>E22/E7</f>
        <v/>
      </c>
      <c r="F23" s="23">
        <f>F22/F7</f>
        <v/>
      </c>
      <c r="G23" s="23">
        <f>G22/G7</f>
        <v/>
      </c>
      <c r="H23" s="23">
        <f>H22/H7</f>
        <v/>
      </c>
      <c r="I23" s="23">
        <f>I22/I7</f>
        <v/>
      </c>
      <c r="J23" s="23">
        <f>J22/J7</f>
        <v/>
      </c>
      <c r="K23" s="23">
        <f>K22/K7</f>
        <v/>
      </c>
      <c r="M23" s="23">
        <f>M22/M7</f>
        <v/>
      </c>
    </row>
    <row r="24">
      <c r="B24" s="7" t="inlineStr">
        <is>
          <t xml:space="preserve">    Owners' earnings growth</t>
        </is>
      </c>
      <c r="D24" s="23">
        <f>D22/C22-1</f>
        <v/>
      </c>
      <c r="E24" s="23">
        <f>E22/D22-1</f>
        <v/>
      </c>
      <c r="F24" s="23">
        <f>F22/E22-1</f>
        <v/>
      </c>
      <c r="G24" s="23">
        <f>G22/F22-1</f>
        <v/>
      </c>
      <c r="H24" s="23">
        <f>H22/G22-1</f>
        <v/>
      </c>
      <c r="I24" s="23">
        <f>I22/H22-1</f>
        <v/>
      </c>
      <c r="J24" s="23">
        <f>J22/I22-1</f>
        <v/>
      </c>
      <c r="K24" s="23">
        <f>K22/J22-1</f>
        <v/>
      </c>
    </row>
    <row r="25"/>
    <row r="26">
      <c r="B26" s="3" t="inlineStr">
        <is>
          <t>Memo -- items deliberately outside owners' earnings:</t>
        </is>
      </c>
    </row>
    <row r="27">
      <c r="B27" s="7" t="inlineStr">
        <is>
          <t xml:space="preserve">    Reported net income</t>
        </is>
      </c>
      <c r="C27" s="16">
        <f>Inputs!C42</f>
        <v/>
      </c>
      <c r="D27" s="16">
        <f>Inputs!D42</f>
        <v/>
      </c>
      <c r="E27" s="16">
        <f>Inputs!E42</f>
        <v/>
      </c>
      <c r="F27" s="16">
        <f>Inputs!F42</f>
        <v/>
      </c>
      <c r="M27" s="16">
        <f>Inputs!O42</f>
        <v/>
      </c>
    </row>
    <row r="28">
      <c r="B28" s="7" t="inlineStr">
        <is>
          <t xml:space="preserve">    Interest income (excluded; the portfolio is added separately in the valuation)</t>
        </is>
      </c>
      <c r="C28" s="16">
        <f>Inputs!C43</f>
        <v/>
      </c>
      <c r="D28" s="16">
        <f>Inputs!D43</f>
        <v/>
      </c>
      <c r="E28" s="16">
        <f>Inputs!E43</f>
        <v/>
      </c>
      <c r="F28" s="16">
        <f>Inputs!F43</f>
        <v/>
      </c>
      <c r="M28" s="16">
        <f>Inputs!O43</f>
        <v/>
      </c>
    </row>
    <row r="29">
      <c r="B29" s="7" t="inlineStr">
        <is>
          <t xml:space="preserve">    FX gain / (loss) (normalised to nil)</t>
        </is>
      </c>
      <c r="C29" s="16">
        <f>Inputs!C44</f>
        <v/>
      </c>
      <c r="D29" s="16">
        <f>Inputs!D44</f>
        <v/>
      </c>
      <c r="E29" s="16">
        <f>Inputs!E44</f>
        <v/>
      </c>
      <c r="F29" s="16">
        <f>Inputs!F44</f>
        <v/>
      </c>
      <c r="M29" s="16">
        <f>Inputs!O44</f>
        <v/>
      </c>
    </row>
    <row r="30">
      <c r="B30" s="7" t="inlineStr">
        <is>
          <t xml:space="preserve">    Cash flow from operating activities</t>
        </is>
      </c>
      <c r="C30" s="16">
        <f>Inputs!C45</f>
        <v/>
      </c>
      <c r="D30" s="16">
        <f>Inputs!D45</f>
        <v/>
      </c>
      <c r="E30" s="16">
        <f>Inputs!E45</f>
        <v/>
      </c>
      <c r="F30" s="16">
        <f>Inputs!F45</f>
        <v/>
      </c>
      <c r="M30" s="16">
        <f>Inputs!O45</f>
        <v/>
      </c>
    </row>
    <row r="31">
      <c r="B31" s="7" t="inlineStr">
        <is>
          <t xml:space="preserve">    Cash conversion: (OCF - capex - after-tax interest) / owners' earnings</t>
        </is>
      </c>
      <c r="C31" s="23">
        <f>(C30-Inputs!C40-C28*(1-Inputs!$C$27))/C22</f>
        <v/>
      </c>
      <c r="D31" s="23">
        <f>(D30-Inputs!D40-D28*(1-Inputs!$C$27))/D22</f>
        <v/>
      </c>
      <c r="E31" s="23">
        <f>(E30-Inputs!E40-E28*(1-Inputs!$C$27))/E22</f>
        <v/>
      </c>
      <c r="F31" s="23">
        <f>(F30-Inputs!F40-F28*(1-Inputs!$C$27))/F22</f>
        <v/>
      </c>
      <c r="M31" s="23">
        <f>(M30-Inputs!O40-M28*(1-Inputs!$C$27))/M22</f>
        <v/>
      </c>
      <c r="Q31" s="9" t="inlineStr">
        <is>
          <t>OE s2 cash-flow sanity check: owners' earnings do show up as cash</t>
        </is>
      </c>
    </row>
    <row r="32">
      <c r="B32" s="7" t="inlineStr">
        <is>
          <t xml:space="preserve">    Sanity check: implied H2 FY2026 revenue vs reported H1 FY2026</t>
        </is>
      </c>
      <c r="G32" s="23">
        <f>(G7-Inputs!N35)/Inputs!N35-1</f>
        <v/>
      </c>
      <c r="Q32" s="9" t="inlineStr">
        <is>
          <t>FC s6: the FY2026E forecast needs only ~2.8% sequential half-on-half revenue growth, of which ~1.2pp is the Q3 FY2026 translation tailwind (Knowledge Store ID 11). H1 FY2026 actual revenue is an input on the Inputs sheet</t>
        </is>
      </c>
    </row>
    <row r="33"/>
    <row r="34">
      <c r="B34" s="3" t="inlineStr">
        <is>
          <t>CHECK: bridge owners' earnings less scenario-engine owners' earnings</t>
        </is>
      </c>
      <c r="F34" s="12">
        <f>F22-F73</f>
        <v/>
      </c>
      <c r="G34" s="12">
        <f>G22-CHOOSE(Inputs!$C$17,G73,G112,G151,G190)</f>
        <v/>
      </c>
      <c r="H34" s="12">
        <f>H22-CHOOSE(Inputs!$C$17,H73,H112,H151,H190)</f>
        <v/>
      </c>
      <c r="I34" s="12">
        <f>I22-CHOOSE(Inputs!$C$17,I73,I112,I151,I190)</f>
        <v/>
      </c>
      <c r="J34" s="12">
        <f>J22-CHOOSE(Inputs!$C$17,J73,J112,J151,J190)</f>
        <v/>
      </c>
      <c r="K34" s="12">
        <f>K22-CHOOSE(Inputs!$C$17,K73,K112,K151,K190)</f>
        <v/>
      </c>
      <c r="Q34" s="9" t="inlineStr">
        <is>
          <t>must be zero in every column -- the two halves of the sheet are the same calculation</t>
        </is>
      </c>
    </row>
    <row r="35"/>
    <row r="36"/>
    <row r="37">
      <c r="B37" s="5" t="inlineStr">
        <is>
          <t>SCENARIO ENGINE -- BASE   (FC s4/s5 Base: legacy US account -20%/yr, Mexico rollout decelerates, headcount to 26 by FY2030E)</t>
        </is>
      </c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</row>
    <row r="38">
      <c r="F38" s="17" t="inlineStr">
        <is>
          <t>FY2025A</t>
        </is>
      </c>
      <c r="G38" s="21" t="inlineStr">
        <is>
          <t>FY2026E</t>
        </is>
      </c>
      <c r="H38" s="21" t="inlineStr">
        <is>
          <t>FY2027E</t>
        </is>
      </c>
      <c r="I38" s="21" t="inlineStr">
        <is>
          <t>FY2028E</t>
        </is>
      </c>
      <c r="J38" s="21" t="inlineStr">
        <is>
          <t>FY2029E</t>
        </is>
      </c>
      <c r="K38" s="21" t="inlineStr">
        <is>
          <t>FY2030E</t>
        </is>
      </c>
    </row>
    <row r="39">
      <c r="B39" s="3" t="inlineStr">
        <is>
          <t>Revenue drivers (linked to Inputs section 7)</t>
        </is>
      </c>
    </row>
    <row r="40">
      <c r="B40" s="7" t="inlineStr">
        <is>
          <t xml:space="preserve">    US ex-legacy growth (constant currency, USD)</t>
        </is>
      </c>
      <c r="G40" s="23">
        <f>Inputs!G82</f>
        <v/>
      </c>
      <c r="H40" s="23">
        <f>Inputs!H82</f>
        <v/>
      </c>
      <c r="I40" s="23">
        <f>Inputs!I82</f>
        <v/>
      </c>
      <c r="J40" s="23">
        <f>Inputs!J82</f>
        <v/>
      </c>
      <c r="K40" s="23">
        <f>Inputs!K82</f>
        <v/>
      </c>
    </row>
    <row r="41">
      <c r="B41" s="7" t="inlineStr">
        <is>
          <t xml:space="preserve">    Legacy largest US account growth (USD)</t>
        </is>
      </c>
      <c r="G41" s="23">
        <f>Inputs!G83</f>
        <v/>
      </c>
      <c r="H41" s="23">
        <f>Inputs!H83</f>
        <v/>
      </c>
      <c r="I41" s="23">
        <f>Inputs!I83</f>
        <v/>
      </c>
      <c r="J41" s="23">
        <f>Inputs!J83</f>
        <v/>
      </c>
      <c r="K41" s="23">
        <f>Inputs!K83</f>
        <v/>
      </c>
    </row>
    <row r="42">
      <c r="B42" s="7" t="inlineStr">
        <is>
          <t xml:space="preserve">    Mexico account growth (USD)</t>
        </is>
      </c>
      <c r="G42" s="23">
        <f>Inputs!G84</f>
        <v/>
      </c>
      <c r="H42" s="23">
        <f>Inputs!H84</f>
        <v/>
      </c>
      <c r="I42" s="23">
        <f>Inputs!I84</f>
        <v/>
      </c>
      <c r="J42" s="23">
        <f>Inputs!J84</f>
        <v/>
      </c>
      <c r="K42" s="23">
        <f>Inputs!K84</f>
        <v/>
      </c>
    </row>
    <row r="43">
      <c r="B43" s="7" t="inlineStr">
        <is>
          <t xml:space="preserve">    Other international growth (USD)</t>
        </is>
      </c>
      <c r="G43" s="23">
        <f>Inputs!G85</f>
        <v/>
      </c>
      <c r="H43" s="23">
        <f>Inputs!H85</f>
        <v/>
      </c>
      <c r="I43" s="23">
        <f>Inputs!I85</f>
        <v/>
      </c>
      <c r="J43" s="23">
        <f>Inputs!J85</f>
        <v/>
      </c>
      <c r="K43" s="23">
        <f>Inputs!K85</f>
        <v/>
      </c>
    </row>
    <row r="44">
      <c r="B44" s="7" t="inlineStr">
        <is>
          <t xml:space="preserve">    Canada growth (CAD)</t>
        </is>
      </c>
      <c r="G44" s="23">
        <f>Inputs!G86</f>
        <v/>
      </c>
      <c r="H44" s="23">
        <f>Inputs!H86</f>
        <v/>
      </c>
      <c r="I44" s="23">
        <f>Inputs!I86</f>
        <v/>
      </c>
      <c r="J44" s="23">
        <f>Inputs!J86</f>
        <v/>
      </c>
      <c r="K44" s="23">
        <f>Inputs!K86</f>
        <v/>
      </c>
    </row>
    <row r="45">
      <c r="B45" s="7" t="inlineStr">
        <is>
          <t>US base excluding legacy account (USD)</t>
        </is>
      </c>
      <c r="F45" s="16">
        <f>Inputs!$C$58</f>
        <v/>
      </c>
      <c r="G45" s="16">
        <f>F45*(1+G40)</f>
        <v/>
      </c>
      <c r="H45" s="16">
        <f>G45*(1+H40)</f>
        <v/>
      </c>
      <c r="I45" s="16">
        <f>H45*(1+I40)</f>
        <v/>
      </c>
      <c r="J45" s="16">
        <f>I45*(1+J40)</f>
        <v/>
      </c>
      <c r="K45" s="16">
        <f>J45*(1+K40)</f>
        <v/>
      </c>
    </row>
    <row r="46">
      <c r="B46" s="7" t="inlineStr">
        <is>
          <t>Legacy largest US account (USD)</t>
        </is>
      </c>
      <c r="F46" s="16">
        <f>Inputs!$C$59</f>
        <v/>
      </c>
      <c r="G46" s="16">
        <f>F46*(1+G41)</f>
        <v/>
      </c>
      <c r="H46" s="16">
        <f>G46*(1+H41)</f>
        <v/>
      </c>
      <c r="I46" s="16">
        <f>H46*(1+I41)</f>
        <v/>
      </c>
      <c r="J46" s="16">
        <f>I46*(1+J41)</f>
        <v/>
      </c>
      <c r="K46" s="16">
        <f>J46*(1+K41)</f>
        <v/>
      </c>
    </row>
    <row r="47">
      <c r="B47" s="7" t="inlineStr">
        <is>
          <t>Mexico account (USD)</t>
        </is>
      </c>
      <c r="F47" s="16">
        <f>Inputs!$C$60</f>
        <v/>
      </c>
      <c r="G47" s="16">
        <f>F47*(1+G42)</f>
        <v/>
      </c>
      <c r="H47" s="16">
        <f>G47*(1+H42)</f>
        <v/>
      </c>
      <c r="I47" s="16">
        <f>H47*(1+I42)</f>
        <v/>
      </c>
      <c r="J47" s="16">
        <f>I47*(1+J42)</f>
        <v/>
      </c>
      <c r="K47" s="16">
        <f>J47*(1+K42)</f>
        <v/>
      </c>
    </row>
    <row r="48">
      <c r="B48" s="7" t="inlineStr">
        <is>
          <t>Other international (USD)</t>
        </is>
      </c>
      <c r="F48" s="16">
        <f>Inputs!$C$61</f>
        <v/>
      </c>
      <c r="G48" s="16">
        <f>F48*(1+G43)</f>
        <v/>
      </c>
      <c r="H48" s="16">
        <f>G48*(1+H43)</f>
        <v/>
      </c>
      <c r="I48" s="16">
        <f>H48*(1+I43)</f>
        <v/>
      </c>
      <c r="J48" s="16">
        <f>I48*(1+J43)</f>
        <v/>
      </c>
      <c r="K48" s="16">
        <f>J48*(1+K43)</f>
        <v/>
      </c>
    </row>
    <row r="49">
      <c r="B49" s="3" t="inlineStr">
        <is>
          <t>= Total USD-billed revenue (USD)</t>
        </is>
      </c>
      <c r="F49" s="12">
        <f>SUM(F45:F48)</f>
        <v/>
      </c>
      <c r="G49" s="12">
        <f>SUM(G45:G48)</f>
        <v/>
      </c>
      <c r="H49" s="12">
        <f>SUM(H45:H48)</f>
        <v/>
      </c>
      <c r="I49" s="12">
        <f>SUM(I45:I48)</f>
        <v/>
      </c>
      <c r="J49" s="12">
        <f>SUM(J45:J48)</f>
        <v/>
      </c>
      <c r="K49" s="12">
        <f>SUM(K45:K48)</f>
        <v/>
      </c>
    </row>
    <row r="50">
      <c r="B50" s="7" t="inlineStr">
        <is>
          <t>USD/CAD average rate</t>
        </is>
      </c>
      <c r="F50" s="27">
        <f>Inputs!$C$55</f>
        <v/>
      </c>
      <c r="G50" s="27">
        <f>Inputs!G87</f>
        <v/>
      </c>
      <c r="H50" s="27">
        <f>Inputs!H87</f>
        <v/>
      </c>
      <c r="I50" s="27">
        <f>Inputs!I87</f>
        <v/>
      </c>
      <c r="J50" s="27">
        <f>Inputs!J87</f>
        <v/>
      </c>
      <c r="K50" s="27">
        <f>Inputs!K87</f>
        <v/>
      </c>
    </row>
    <row r="51">
      <c r="B51" s="7" t="inlineStr">
        <is>
          <t xml:space="preserve">    USD-billed revenue translated to CAD</t>
        </is>
      </c>
      <c r="F51" s="16">
        <f>F49*F50</f>
        <v/>
      </c>
      <c r="G51" s="16">
        <f>G49*G50</f>
        <v/>
      </c>
      <c r="H51" s="16">
        <f>H49*H50</f>
        <v/>
      </c>
      <c r="I51" s="16">
        <f>I49*I50</f>
        <v/>
      </c>
      <c r="J51" s="16">
        <f>J49*J50</f>
        <v/>
      </c>
      <c r="K51" s="16">
        <f>K49*K50</f>
        <v/>
      </c>
    </row>
    <row r="52">
      <c r="B52" s="7" t="inlineStr">
        <is>
          <t xml:space="preserve">    Canada revenue (CAD, not translated)</t>
        </is>
      </c>
      <c r="F52" s="16">
        <f>Inputs!$C$62</f>
        <v/>
      </c>
      <c r="G52" s="16">
        <f>F52*(1+G44)</f>
        <v/>
      </c>
      <c r="H52" s="16">
        <f>G52*(1+H44)</f>
        <v/>
      </c>
      <c r="I52" s="16">
        <f>H52*(1+I44)</f>
        <v/>
      </c>
      <c r="J52" s="16">
        <f>I52*(1+J44)</f>
        <v/>
      </c>
      <c r="K52" s="16">
        <f>J52*(1+K44)</f>
        <v/>
      </c>
    </row>
    <row r="53">
      <c r="B53" s="3" t="inlineStr">
        <is>
          <t>= TOTAL REVENUE (CAD)</t>
        </is>
      </c>
      <c r="F53" s="25">
        <f>F51+F52</f>
        <v/>
      </c>
      <c r="G53" s="25">
        <f>G51+G52</f>
        <v/>
      </c>
      <c r="H53" s="25">
        <f>H51+H52</f>
        <v/>
      </c>
      <c r="I53" s="25">
        <f>I51+I52</f>
        <v/>
      </c>
      <c r="J53" s="25">
        <f>J51+J52</f>
        <v/>
      </c>
      <c r="K53" s="25">
        <f>K51+K52</f>
        <v/>
      </c>
    </row>
    <row r="54">
      <c r="B54" s="7" t="inlineStr">
        <is>
          <t xml:space="preserve">    Revenue growth</t>
        </is>
      </c>
      <c r="F54" s="23">
        <f>F53/Inputs!E35-1</f>
        <v/>
      </c>
      <c r="G54" s="23">
        <f>G53/F53-1</f>
        <v/>
      </c>
      <c r="H54" s="23">
        <f>H53/G53-1</f>
        <v/>
      </c>
      <c r="I54" s="23">
        <f>I53/H53-1</f>
        <v/>
      </c>
      <c r="J54" s="23">
        <f>J53/I53-1</f>
        <v/>
      </c>
      <c r="K54" s="23">
        <f>K53/J53-1</f>
        <v/>
      </c>
    </row>
    <row r="55"/>
    <row r="56">
      <c r="B56" s="3" t="inlineStr">
        <is>
          <t>Cost build</t>
        </is>
      </c>
    </row>
    <row r="57">
      <c r="B57" s="7" t="inlineStr">
        <is>
          <t>Average headcount</t>
        </is>
      </c>
      <c r="F57" s="28">
        <f>Inputs!$C$71</f>
        <v/>
      </c>
      <c r="G57" s="28">
        <f>Inputs!G88</f>
        <v/>
      </c>
      <c r="H57" s="28">
        <f>Inputs!H88</f>
        <v/>
      </c>
      <c r="I57" s="28">
        <f>Inputs!I88</f>
        <v/>
      </c>
      <c r="J57" s="28">
        <f>Inputs!J88</f>
        <v/>
      </c>
      <c r="K57" s="28">
        <f>Inputs!K88</f>
        <v/>
      </c>
    </row>
    <row r="58">
      <c r="B58" s="7" t="inlineStr">
        <is>
          <t xml:space="preserve">    Wage inflation</t>
        </is>
      </c>
      <c r="G58" s="23">
        <f>Inputs!G89</f>
        <v/>
      </c>
      <c r="H58" s="23">
        <f>Inputs!H89</f>
        <v/>
      </c>
      <c r="I58" s="23">
        <f>Inputs!I89</f>
        <v/>
      </c>
      <c r="J58" s="23">
        <f>Inputs!J89</f>
        <v/>
      </c>
      <c r="K58" s="23">
        <f>Inputs!K89</f>
        <v/>
      </c>
    </row>
    <row r="59">
      <c r="B59" s="7" t="inlineStr">
        <is>
          <t xml:space="preserve">    Cumulative wage index vs FY2025</t>
        </is>
      </c>
      <c r="F59" s="29">
        <f>1</f>
        <v/>
      </c>
      <c r="G59" s="29">
        <f>F59*(1+G58)</f>
        <v/>
      </c>
      <c r="H59" s="29">
        <f>G59*(1+H58)</f>
        <v/>
      </c>
      <c r="I59" s="29">
        <f>H59*(1+I58)</f>
        <v/>
      </c>
      <c r="J59" s="29">
        <f>I59*(1+J58)</f>
        <v/>
      </c>
      <c r="K59" s="29">
        <f>J59*(1+K58)</f>
        <v/>
      </c>
    </row>
    <row r="60">
      <c r="B60" s="7" t="inlineStr">
        <is>
          <t xml:space="preserve">    Cash compensation per head</t>
        </is>
      </c>
      <c r="F60" s="16">
        <f>Inputs!$C$73</f>
        <v/>
      </c>
      <c r="G60" s="16">
        <f>$F$60*G59</f>
        <v/>
      </c>
      <c r="H60" s="16">
        <f>$F$60*H59</f>
        <v/>
      </c>
      <c r="I60" s="16">
        <f>$F$60*I59</f>
        <v/>
      </c>
      <c r="J60" s="16">
        <f>$F$60*J59</f>
        <v/>
      </c>
      <c r="K60" s="16">
        <f>$F$60*K59</f>
        <v/>
      </c>
    </row>
    <row r="61">
      <c r="B61" s="7" t="inlineStr">
        <is>
          <t>Cash compensation  (= headcount x cost per head)</t>
        </is>
      </c>
      <c r="F61" s="16">
        <f>F57*F60</f>
        <v/>
      </c>
      <c r="G61" s="16">
        <f>G57*G60</f>
        <v/>
      </c>
      <c r="H61" s="16">
        <f>H57*H60</f>
        <v/>
      </c>
      <c r="I61" s="16">
        <f>I57*I60</f>
        <v/>
      </c>
      <c r="J61" s="16">
        <f>J57*J60</f>
        <v/>
      </c>
      <c r="K61" s="16">
        <f>K57*K60</f>
        <v/>
      </c>
    </row>
    <row r="62">
      <c r="B62" s="7" t="inlineStr">
        <is>
          <t>Normalised share-based compensation</t>
        </is>
      </c>
      <c r="F62" s="16">
        <f>Inputs!$C$29</f>
        <v/>
      </c>
      <c r="G62" s="16">
        <f>Inputs!$C$29</f>
        <v/>
      </c>
      <c r="H62" s="16">
        <f>Inputs!$C$29</f>
        <v/>
      </c>
      <c r="I62" s="16">
        <f>Inputs!$C$29</f>
        <v/>
      </c>
      <c r="J62" s="16">
        <f>Inputs!$C$29</f>
        <v/>
      </c>
      <c r="K62" s="16">
        <f>Inputs!$C$29</f>
        <v/>
      </c>
    </row>
    <row r="63">
      <c r="B63" s="7" t="inlineStr">
        <is>
          <t xml:space="preserve">    Non-comp cost-of-sales elasticity to revenue growth</t>
        </is>
      </c>
      <c r="G63" s="30">
        <f>Inputs!G90</f>
        <v/>
      </c>
      <c r="H63" s="30">
        <f>Inputs!H90</f>
        <v/>
      </c>
      <c r="I63" s="30">
        <f>Inputs!I90</f>
        <v/>
      </c>
      <c r="J63" s="30">
        <f>Inputs!J90</f>
        <v/>
      </c>
      <c r="K63" s="30">
        <f>Inputs!K90</f>
        <v/>
      </c>
    </row>
    <row r="64">
      <c r="B64" s="7" t="inlineStr">
        <is>
          <t>Non-compensation cost of sales</t>
        </is>
      </c>
      <c r="F64" s="16">
        <f>Inputs!$C$74</f>
        <v/>
      </c>
      <c r="G64" s="16">
        <f>F64*(1+G63*(G53/F53-1))</f>
        <v/>
      </c>
      <c r="H64" s="16">
        <f>G64*(1+H63*(H53/G53-1))</f>
        <v/>
      </c>
      <c r="I64" s="16">
        <f>H64*(1+I63*(I53/H53-1))</f>
        <v/>
      </c>
      <c r="J64" s="16">
        <f>I64*(1+J63*(J53/I53-1))</f>
        <v/>
      </c>
      <c r="K64" s="16">
        <f>J64*(1+K63*(K53/J53-1))</f>
        <v/>
      </c>
    </row>
    <row r="65">
      <c r="B65" s="7" t="inlineStr">
        <is>
          <t xml:space="preserve">    Non-comp G&amp;A growth</t>
        </is>
      </c>
      <c r="G65" s="23">
        <f>Inputs!G93</f>
        <v/>
      </c>
      <c r="H65" s="23">
        <f>Inputs!H93</f>
        <v/>
      </c>
      <c r="I65" s="23">
        <f>Inputs!I93</f>
        <v/>
      </c>
      <c r="J65" s="23">
        <f>Inputs!J93</f>
        <v/>
      </c>
      <c r="K65" s="23">
        <f>Inputs!K93</f>
        <v/>
      </c>
    </row>
    <row r="66">
      <c r="B66" s="7" t="inlineStr">
        <is>
          <t>Non-compensation general and administration</t>
        </is>
      </c>
      <c r="F66" s="16">
        <f>Inputs!$C$76</f>
        <v/>
      </c>
      <c r="G66" s="16">
        <f>F66*(1+G65)</f>
        <v/>
      </c>
      <c r="H66" s="16">
        <f>G66*(1+H65)</f>
        <v/>
      </c>
      <c r="I66" s="16">
        <f>H66*(1+I65)</f>
        <v/>
      </c>
      <c r="J66" s="16">
        <f>I66*(1+J65)</f>
        <v/>
      </c>
      <c r="K66" s="16">
        <f>J66*(1+K65)</f>
        <v/>
      </c>
    </row>
    <row r="67">
      <c r="B67" s="7" t="inlineStr">
        <is>
          <t>Non-compensation selling expense</t>
        </is>
      </c>
      <c r="F67" s="16">
        <f>Inputs!$C$75</f>
        <v/>
      </c>
      <c r="G67" s="16">
        <f>Inputs!$G$91</f>
        <v/>
      </c>
      <c r="H67" s="16">
        <f>G67*(1+Inputs!$G$92)</f>
        <v/>
      </c>
      <c r="I67" s="16">
        <f>H67*(1+Inputs!$G$92)</f>
        <v/>
      </c>
      <c r="J67" s="16">
        <f>I67*(1+Inputs!$G$92)</f>
        <v/>
      </c>
      <c r="K67" s="16">
        <f>J67*(1+Inputs!$G$92)</f>
        <v/>
      </c>
    </row>
    <row r="68">
      <c r="B68" s="7" t="inlineStr">
        <is>
          <t xml:space="preserve">    Memo: implied growth in non-comp selling</t>
        </is>
      </c>
      <c r="G68" s="23">
        <f>G67/F67-1</f>
        <v/>
      </c>
      <c r="H68" s="23">
        <f>H67/G67-1</f>
        <v/>
      </c>
      <c r="I68" s="23">
        <f>I67/H67-1</f>
        <v/>
      </c>
      <c r="J68" s="23">
        <f>J67/I67-1</f>
        <v/>
      </c>
      <c r="K68" s="23">
        <f>K67/J67-1</f>
        <v/>
      </c>
      <c r="Q68" s="9" t="inlineStr">
        <is>
          <t>FY2026E shows the -34.3% reset from the $228,140 FY2025A actual; FY2027E-FY2030E show the scenario growth rate, confirming the two Inputs-sheet parameters drive all five years</t>
        </is>
      </c>
    </row>
    <row r="69">
      <c r="B69" s="7" t="inlineStr">
        <is>
          <t>Normalised bad debt expense</t>
        </is>
      </c>
      <c r="F69" s="16">
        <f>Inputs!$C$28</f>
        <v/>
      </c>
      <c r="G69" s="16">
        <f>Inputs!$C$28</f>
        <v/>
      </c>
      <c r="H69" s="16">
        <f>Inputs!$C$28</f>
        <v/>
      </c>
      <c r="I69" s="16">
        <f>Inputs!$C$28</f>
        <v/>
      </c>
      <c r="J69" s="16">
        <f>Inputs!$C$28</f>
        <v/>
      </c>
      <c r="K69" s="16">
        <f>Inputs!$C$28</f>
        <v/>
      </c>
    </row>
    <row r="70">
      <c r="B70" s="3" t="inlineStr">
        <is>
          <t>= Total operating cost</t>
        </is>
      </c>
      <c r="F70" s="25">
        <f>F61+F62+F64+F66+F67+F69</f>
        <v/>
      </c>
      <c r="G70" s="25">
        <f>G61+G62+G64+G66+G67+G69</f>
        <v/>
      </c>
      <c r="H70" s="25">
        <f>H61+H62+H64+H66+H67+H69</f>
        <v/>
      </c>
      <c r="I70" s="25">
        <f>I61+I62+I64+I66+I67+I69</f>
        <v/>
      </c>
      <c r="J70" s="25">
        <f>J61+J62+J64+J66+J67+J69</f>
        <v/>
      </c>
      <c r="K70" s="25">
        <f>K61+K62+K64+K66+K67+K69</f>
        <v/>
      </c>
    </row>
    <row r="71">
      <c r="B71" s="3" t="inlineStr">
        <is>
          <t>= OPERATING INCOME (normalised cost base)</t>
        </is>
      </c>
      <c r="F71" s="31">
        <f>F53-F70</f>
        <v/>
      </c>
      <c r="G71" s="31">
        <f>G53-G70</f>
        <v/>
      </c>
      <c r="H71" s="31">
        <f>H53-H70</f>
        <v/>
      </c>
      <c r="I71" s="31">
        <f>I53-I70</f>
        <v/>
      </c>
      <c r="J71" s="31">
        <f>J53-J70</f>
        <v/>
      </c>
      <c r="K71" s="31">
        <f>K53-K70</f>
        <v/>
      </c>
    </row>
    <row r="72">
      <c r="B72" s="7" t="inlineStr">
        <is>
          <t xml:space="preserve">    Operating margin</t>
        </is>
      </c>
      <c r="F72" s="23">
        <f>F71/F53</f>
        <v/>
      </c>
      <c r="G72" s="23">
        <f>G71/G53</f>
        <v/>
      </c>
      <c r="H72" s="23">
        <f>H71/H53</f>
        <v/>
      </c>
      <c r="I72" s="23">
        <f>I71/I53</f>
        <v/>
      </c>
      <c r="J72" s="23">
        <f>J71/J53</f>
        <v/>
      </c>
      <c r="K72" s="23">
        <f>K71/K53</f>
        <v/>
      </c>
    </row>
    <row r="73">
      <c r="B73" s="3" t="inlineStr">
        <is>
          <t>= OWNERS' EARNINGS (see bridge above; repeated here)</t>
        </is>
      </c>
      <c r="F73" s="31">
        <f>(F71+Inputs!$F$39-Inputs!$F$40)*(1-Inputs!$C$27)-Inputs!$C$27*Inputs!$C$29-(Inputs!$F$41-Inputs!$F$38*Inputs!$C$27)</f>
        <v/>
      </c>
      <c r="G73" s="31">
        <f>(G71+Inputs!$F$39-Inputs!$F$40)*(1-Inputs!$C$27)-Inputs!$C$27*Inputs!$C$29-Inputs!$C$30</f>
        <v/>
      </c>
      <c r="H73" s="31">
        <f>(H71+Inputs!$F$39-Inputs!$F$40)*(1-Inputs!$C$27)-Inputs!$C$27*Inputs!$C$29-Inputs!$C$30</f>
        <v/>
      </c>
      <c r="I73" s="31">
        <f>(I71+Inputs!$F$39-Inputs!$F$40)*(1-Inputs!$C$27)-Inputs!$C$27*Inputs!$C$29-Inputs!$C$30</f>
        <v/>
      </c>
      <c r="J73" s="31">
        <f>(J71+Inputs!$F$39-Inputs!$F$40)*(1-Inputs!$C$27)-Inputs!$C$27*Inputs!$C$29-Inputs!$C$30</f>
        <v/>
      </c>
      <c r="K73" s="31">
        <f>(K71+Inputs!$F$39-Inputs!$F$40)*(1-Inputs!$C$27)-Inputs!$C$27*Inputs!$C$29-Inputs!$C$30</f>
        <v/>
      </c>
      <c r="Q73" s="9" t="inlineStr">
        <is>
          <t>Algebraically identical to the bridge above: (pre-tax OE) - [tax x (pre-tax OE + normalised SBC)] - permanent differences</t>
        </is>
      </c>
    </row>
    <row r="74">
      <c r="B74" s="7" t="inlineStr">
        <is>
          <t xml:space="preserve">    Owners' earnings margin</t>
        </is>
      </c>
      <c r="F74" s="23">
        <f>F73/F53</f>
        <v/>
      </c>
      <c r="G74" s="23">
        <f>G73/G53</f>
        <v/>
      </c>
      <c r="H74" s="23">
        <f>H73/H53</f>
        <v/>
      </c>
      <c r="I74" s="23">
        <f>I73/I53</f>
        <v/>
      </c>
      <c r="J74" s="23">
        <f>J73/J53</f>
        <v/>
      </c>
      <c r="K74" s="23">
        <f>K73/K53</f>
        <v/>
      </c>
    </row>
    <row r="75"/>
    <row r="76">
      <c r="B76" s="5" t="inlineStr">
        <is>
          <t>SCENARIO ENGINE -- BULL   (FC s4/s5 Bull: legacy stabilises, a 2nd Mexico-sized international account lands from FY2028E)</t>
        </is>
      </c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</row>
    <row r="77">
      <c r="F77" s="17" t="inlineStr">
        <is>
          <t>FY2025A</t>
        </is>
      </c>
      <c r="G77" s="21" t="inlineStr">
        <is>
          <t>FY2026E</t>
        </is>
      </c>
      <c r="H77" s="21" t="inlineStr">
        <is>
          <t>FY2027E</t>
        </is>
      </c>
      <c r="I77" s="21" t="inlineStr">
        <is>
          <t>FY2028E</t>
        </is>
      </c>
      <c r="J77" s="21" t="inlineStr">
        <is>
          <t>FY2029E</t>
        </is>
      </c>
      <c r="K77" s="21" t="inlineStr">
        <is>
          <t>FY2030E</t>
        </is>
      </c>
    </row>
    <row r="78">
      <c r="B78" s="3" t="inlineStr">
        <is>
          <t>Revenue drivers (linked to Inputs section 7)</t>
        </is>
      </c>
    </row>
    <row r="79">
      <c r="B79" s="7" t="inlineStr">
        <is>
          <t xml:space="preserve">    US ex-legacy growth (constant currency, USD)</t>
        </is>
      </c>
      <c r="G79" s="23">
        <f>Inputs!G97</f>
        <v/>
      </c>
      <c r="H79" s="23">
        <f>Inputs!H97</f>
        <v/>
      </c>
      <c r="I79" s="23">
        <f>Inputs!I97</f>
        <v/>
      </c>
      <c r="J79" s="23">
        <f>Inputs!J97</f>
        <v/>
      </c>
      <c r="K79" s="23">
        <f>Inputs!K97</f>
        <v/>
      </c>
    </row>
    <row r="80">
      <c r="B80" s="7" t="inlineStr">
        <is>
          <t xml:space="preserve">    Legacy largest US account growth (USD)</t>
        </is>
      </c>
      <c r="G80" s="23">
        <f>Inputs!G98</f>
        <v/>
      </c>
      <c r="H80" s="23">
        <f>Inputs!H98</f>
        <v/>
      </c>
      <c r="I80" s="23">
        <f>Inputs!I98</f>
        <v/>
      </c>
      <c r="J80" s="23">
        <f>Inputs!J98</f>
        <v/>
      </c>
      <c r="K80" s="23">
        <f>Inputs!K98</f>
        <v/>
      </c>
    </row>
    <row r="81">
      <c r="B81" s="7" t="inlineStr">
        <is>
          <t xml:space="preserve">    Mexico account growth (USD)</t>
        </is>
      </c>
      <c r="G81" s="23">
        <f>Inputs!G99</f>
        <v/>
      </c>
      <c r="H81" s="23">
        <f>Inputs!H99</f>
        <v/>
      </c>
      <c r="I81" s="23">
        <f>Inputs!I99</f>
        <v/>
      </c>
      <c r="J81" s="23">
        <f>Inputs!J99</f>
        <v/>
      </c>
      <c r="K81" s="23">
        <f>Inputs!K99</f>
        <v/>
      </c>
    </row>
    <row r="82">
      <c r="B82" s="7" t="inlineStr">
        <is>
          <t xml:space="preserve">    Other international growth (USD)</t>
        </is>
      </c>
      <c r="G82" s="23">
        <f>Inputs!G100</f>
        <v/>
      </c>
      <c r="H82" s="23">
        <f>Inputs!H100</f>
        <v/>
      </c>
      <c r="I82" s="23">
        <f>Inputs!I100</f>
        <v/>
      </c>
      <c r="J82" s="23">
        <f>Inputs!J100</f>
        <v/>
      </c>
      <c r="K82" s="23">
        <f>Inputs!K100</f>
        <v/>
      </c>
    </row>
    <row r="83">
      <c r="B83" s="7" t="inlineStr">
        <is>
          <t xml:space="preserve">    Canada growth (CAD)</t>
        </is>
      </c>
      <c r="G83" s="23">
        <f>Inputs!G101</f>
        <v/>
      </c>
      <c r="H83" s="23">
        <f>Inputs!H101</f>
        <v/>
      </c>
      <c r="I83" s="23">
        <f>Inputs!I101</f>
        <v/>
      </c>
      <c r="J83" s="23">
        <f>Inputs!J101</f>
        <v/>
      </c>
      <c r="K83" s="23">
        <f>Inputs!K101</f>
        <v/>
      </c>
    </row>
    <row r="84">
      <c r="B84" s="7" t="inlineStr">
        <is>
          <t>US base excluding legacy account (USD)</t>
        </is>
      </c>
      <c r="F84" s="16">
        <f>Inputs!$C$58</f>
        <v/>
      </c>
      <c r="G84" s="16">
        <f>F84*(1+G79)</f>
        <v/>
      </c>
      <c r="H84" s="16">
        <f>G84*(1+H79)</f>
        <v/>
      </c>
      <c r="I84" s="16">
        <f>H84*(1+I79)</f>
        <v/>
      </c>
      <c r="J84" s="16">
        <f>I84*(1+J79)</f>
        <v/>
      </c>
      <c r="K84" s="16">
        <f>J84*(1+K79)</f>
        <v/>
      </c>
    </row>
    <row r="85">
      <c r="B85" s="7" t="inlineStr">
        <is>
          <t>Legacy largest US account (USD)</t>
        </is>
      </c>
      <c r="F85" s="16">
        <f>Inputs!$C$59</f>
        <v/>
      </c>
      <c r="G85" s="16">
        <f>F85*(1+G80)</f>
        <v/>
      </c>
      <c r="H85" s="16">
        <f>G85*(1+H80)</f>
        <v/>
      </c>
      <c r="I85" s="16">
        <f>H85*(1+I80)</f>
        <v/>
      </c>
      <c r="J85" s="16">
        <f>I85*(1+J80)</f>
        <v/>
      </c>
      <c r="K85" s="16">
        <f>J85*(1+K80)</f>
        <v/>
      </c>
    </row>
    <row r="86">
      <c r="B86" s="7" t="inlineStr">
        <is>
          <t>Mexico account (USD)</t>
        </is>
      </c>
      <c r="F86" s="16">
        <f>Inputs!$C$60</f>
        <v/>
      </c>
      <c r="G86" s="16">
        <f>F86*(1+G81)</f>
        <v/>
      </c>
      <c r="H86" s="16">
        <f>G86*(1+H81)</f>
        <v/>
      </c>
      <c r="I86" s="16">
        <f>H86*(1+I81)</f>
        <v/>
      </c>
      <c r="J86" s="16">
        <f>I86*(1+J81)</f>
        <v/>
      </c>
      <c r="K86" s="16">
        <f>J86*(1+K81)</f>
        <v/>
      </c>
    </row>
    <row r="87">
      <c r="B87" s="7" t="inlineStr">
        <is>
          <t>Other international (USD)</t>
        </is>
      </c>
      <c r="F87" s="16">
        <f>Inputs!$C$61</f>
        <v/>
      </c>
      <c r="G87" s="16">
        <f>F87*(1+G82)</f>
        <v/>
      </c>
      <c r="H87" s="16">
        <f>G87*(1+H82)</f>
        <v/>
      </c>
      <c r="I87" s="16">
        <f>H87*(1+I82)</f>
        <v/>
      </c>
      <c r="J87" s="16">
        <f>I87*(1+J82)</f>
        <v/>
      </c>
      <c r="K87" s="16">
        <f>J87*(1+K82)</f>
        <v/>
      </c>
    </row>
    <row r="88">
      <c r="B88" s="3" t="inlineStr">
        <is>
          <t>= Total USD-billed revenue (USD)</t>
        </is>
      </c>
      <c r="F88" s="12">
        <f>SUM(F84:F87)</f>
        <v/>
      </c>
      <c r="G88" s="12">
        <f>SUM(G84:G87)</f>
        <v/>
      </c>
      <c r="H88" s="12">
        <f>SUM(H84:H87)</f>
        <v/>
      </c>
      <c r="I88" s="12">
        <f>SUM(I84:I87)</f>
        <v/>
      </c>
      <c r="J88" s="12">
        <f>SUM(J84:J87)</f>
        <v/>
      </c>
      <c r="K88" s="12">
        <f>SUM(K84:K87)</f>
        <v/>
      </c>
    </row>
    <row r="89">
      <c r="B89" s="7" t="inlineStr">
        <is>
          <t>USD/CAD average rate</t>
        </is>
      </c>
      <c r="F89" s="27">
        <f>Inputs!$C$55</f>
        <v/>
      </c>
      <c r="G89" s="27">
        <f>Inputs!G102</f>
        <v/>
      </c>
      <c r="H89" s="27">
        <f>Inputs!H102</f>
        <v/>
      </c>
      <c r="I89" s="27">
        <f>Inputs!I102</f>
        <v/>
      </c>
      <c r="J89" s="27">
        <f>Inputs!J102</f>
        <v/>
      </c>
      <c r="K89" s="27">
        <f>Inputs!K102</f>
        <v/>
      </c>
    </row>
    <row r="90">
      <c r="B90" s="7" t="inlineStr">
        <is>
          <t xml:space="preserve">    USD-billed revenue translated to CAD</t>
        </is>
      </c>
      <c r="F90" s="16">
        <f>F88*F89</f>
        <v/>
      </c>
      <c r="G90" s="16">
        <f>G88*G89</f>
        <v/>
      </c>
      <c r="H90" s="16">
        <f>H88*H89</f>
        <v/>
      </c>
      <c r="I90" s="16">
        <f>I88*I89</f>
        <v/>
      </c>
      <c r="J90" s="16">
        <f>J88*J89</f>
        <v/>
      </c>
      <c r="K90" s="16">
        <f>K88*K89</f>
        <v/>
      </c>
    </row>
    <row r="91">
      <c r="B91" s="7" t="inlineStr">
        <is>
          <t xml:space="preserve">    Canada revenue (CAD, not translated)</t>
        </is>
      </c>
      <c r="F91" s="16">
        <f>Inputs!$C$62</f>
        <v/>
      </c>
      <c r="G91" s="16">
        <f>F91*(1+G83)</f>
        <v/>
      </c>
      <c r="H91" s="16">
        <f>G91*(1+H83)</f>
        <v/>
      </c>
      <c r="I91" s="16">
        <f>H91*(1+I83)</f>
        <v/>
      </c>
      <c r="J91" s="16">
        <f>I91*(1+J83)</f>
        <v/>
      </c>
      <c r="K91" s="16">
        <f>J91*(1+K83)</f>
        <v/>
      </c>
    </row>
    <row r="92">
      <c r="B92" s="3" t="inlineStr">
        <is>
          <t>= TOTAL REVENUE (CAD)</t>
        </is>
      </c>
      <c r="F92" s="25">
        <f>F90+F91</f>
        <v/>
      </c>
      <c r="G92" s="25">
        <f>G90+G91</f>
        <v/>
      </c>
      <c r="H92" s="25">
        <f>H90+H91</f>
        <v/>
      </c>
      <c r="I92" s="25">
        <f>I90+I91</f>
        <v/>
      </c>
      <c r="J92" s="25">
        <f>J90+J91</f>
        <v/>
      </c>
      <c r="K92" s="25">
        <f>K90+K91</f>
        <v/>
      </c>
    </row>
    <row r="93">
      <c r="B93" s="7" t="inlineStr">
        <is>
          <t xml:space="preserve">    Revenue growth</t>
        </is>
      </c>
      <c r="F93" s="23">
        <f>F92/Inputs!E35-1</f>
        <v/>
      </c>
      <c r="G93" s="23">
        <f>G92/F92-1</f>
        <v/>
      </c>
      <c r="H93" s="23">
        <f>H92/G92-1</f>
        <v/>
      </c>
      <c r="I93" s="23">
        <f>I92/H92-1</f>
        <v/>
      </c>
      <c r="J93" s="23">
        <f>J92/I92-1</f>
        <v/>
      </c>
      <c r="K93" s="23">
        <f>K92/J92-1</f>
        <v/>
      </c>
    </row>
    <row r="94"/>
    <row r="95">
      <c r="B95" s="3" t="inlineStr">
        <is>
          <t>Cost build</t>
        </is>
      </c>
    </row>
    <row r="96">
      <c r="B96" s="7" t="inlineStr">
        <is>
          <t>Average headcount</t>
        </is>
      </c>
      <c r="F96" s="28">
        <f>Inputs!$C$71</f>
        <v/>
      </c>
      <c r="G96" s="28">
        <f>Inputs!G103</f>
        <v/>
      </c>
      <c r="H96" s="28">
        <f>Inputs!H103</f>
        <v/>
      </c>
      <c r="I96" s="28">
        <f>Inputs!I103</f>
        <v/>
      </c>
      <c r="J96" s="28">
        <f>Inputs!J103</f>
        <v/>
      </c>
      <c r="K96" s="28">
        <f>Inputs!K103</f>
        <v/>
      </c>
    </row>
    <row r="97">
      <c r="B97" s="7" t="inlineStr">
        <is>
          <t xml:space="preserve">    Wage inflation</t>
        </is>
      </c>
      <c r="G97" s="23">
        <f>Inputs!G104</f>
        <v/>
      </c>
      <c r="H97" s="23">
        <f>Inputs!H104</f>
        <v/>
      </c>
      <c r="I97" s="23">
        <f>Inputs!I104</f>
        <v/>
      </c>
      <c r="J97" s="23">
        <f>Inputs!J104</f>
        <v/>
      </c>
      <c r="K97" s="23">
        <f>Inputs!K104</f>
        <v/>
      </c>
    </row>
    <row r="98">
      <c r="B98" s="7" t="inlineStr">
        <is>
          <t xml:space="preserve">    Cumulative wage index vs FY2025</t>
        </is>
      </c>
      <c r="F98" s="29">
        <f>1</f>
        <v/>
      </c>
      <c r="G98" s="29">
        <f>F98*(1+G97)</f>
        <v/>
      </c>
      <c r="H98" s="29">
        <f>G98*(1+H97)</f>
        <v/>
      </c>
      <c r="I98" s="29">
        <f>H98*(1+I97)</f>
        <v/>
      </c>
      <c r="J98" s="29">
        <f>I98*(1+J97)</f>
        <v/>
      </c>
      <c r="K98" s="29">
        <f>J98*(1+K97)</f>
        <v/>
      </c>
    </row>
    <row r="99">
      <c r="B99" s="7" t="inlineStr">
        <is>
          <t xml:space="preserve">    Cash compensation per head</t>
        </is>
      </c>
      <c r="F99" s="16">
        <f>Inputs!$C$73</f>
        <v/>
      </c>
      <c r="G99" s="16">
        <f>$F$99*G98</f>
        <v/>
      </c>
      <c r="H99" s="16">
        <f>$F$99*H98</f>
        <v/>
      </c>
      <c r="I99" s="16">
        <f>$F$99*I98</f>
        <v/>
      </c>
      <c r="J99" s="16">
        <f>$F$99*J98</f>
        <v/>
      </c>
      <c r="K99" s="16">
        <f>$F$99*K98</f>
        <v/>
      </c>
    </row>
    <row r="100">
      <c r="B100" s="7" t="inlineStr">
        <is>
          <t>Cash compensation  (= headcount x cost per head)</t>
        </is>
      </c>
      <c r="F100" s="16">
        <f>F96*F99</f>
        <v/>
      </c>
      <c r="G100" s="16">
        <f>G96*G99</f>
        <v/>
      </c>
      <c r="H100" s="16">
        <f>H96*H99</f>
        <v/>
      </c>
      <c r="I100" s="16">
        <f>I96*I99</f>
        <v/>
      </c>
      <c r="J100" s="16">
        <f>J96*J99</f>
        <v/>
      </c>
      <c r="K100" s="16">
        <f>K96*K99</f>
        <v/>
      </c>
    </row>
    <row r="101">
      <c r="B101" s="7" t="inlineStr">
        <is>
          <t>Normalised share-based compensation</t>
        </is>
      </c>
      <c r="F101" s="16">
        <f>Inputs!$C$29</f>
        <v/>
      </c>
      <c r="G101" s="16">
        <f>Inputs!$C$29</f>
        <v/>
      </c>
      <c r="H101" s="16">
        <f>Inputs!$C$29</f>
        <v/>
      </c>
      <c r="I101" s="16">
        <f>Inputs!$C$29</f>
        <v/>
      </c>
      <c r="J101" s="16">
        <f>Inputs!$C$29</f>
        <v/>
      </c>
      <c r="K101" s="16">
        <f>Inputs!$C$29</f>
        <v/>
      </c>
    </row>
    <row r="102">
      <c r="B102" s="7" t="inlineStr">
        <is>
          <t xml:space="preserve">    Non-comp cost-of-sales elasticity to revenue growth</t>
        </is>
      </c>
      <c r="G102" s="30">
        <f>Inputs!G105</f>
        <v/>
      </c>
      <c r="H102" s="30">
        <f>Inputs!H105</f>
        <v/>
      </c>
      <c r="I102" s="30">
        <f>Inputs!I105</f>
        <v/>
      </c>
      <c r="J102" s="30">
        <f>Inputs!J105</f>
        <v/>
      </c>
      <c r="K102" s="30">
        <f>Inputs!K105</f>
        <v/>
      </c>
    </row>
    <row r="103">
      <c r="B103" s="7" t="inlineStr">
        <is>
          <t>Non-compensation cost of sales</t>
        </is>
      </c>
      <c r="F103" s="16">
        <f>Inputs!$C$74</f>
        <v/>
      </c>
      <c r="G103" s="16">
        <f>F103*(1+G102*(G92/F92-1))</f>
        <v/>
      </c>
      <c r="H103" s="16">
        <f>G103*(1+H102*(H92/G92-1))</f>
        <v/>
      </c>
      <c r="I103" s="16">
        <f>H103*(1+I102*(I92/H92-1))</f>
        <v/>
      </c>
      <c r="J103" s="16">
        <f>I103*(1+J102*(J92/I92-1))</f>
        <v/>
      </c>
      <c r="K103" s="16">
        <f>J103*(1+K102*(K92/J92-1))</f>
        <v/>
      </c>
    </row>
    <row r="104">
      <c r="B104" s="7" t="inlineStr">
        <is>
          <t xml:space="preserve">    Non-comp G&amp;A growth</t>
        </is>
      </c>
      <c r="G104" s="23">
        <f>Inputs!G108</f>
        <v/>
      </c>
      <c r="H104" s="23">
        <f>Inputs!H108</f>
        <v/>
      </c>
      <c r="I104" s="23">
        <f>Inputs!I108</f>
        <v/>
      </c>
      <c r="J104" s="23">
        <f>Inputs!J108</f>
        <v/>
      </c>
      <c r="K104" s="23">
        <f>Inputs!K108</f>
        <v/>
      </c>
    </row>
    <row r="105">
      <c r="B105" s="7" t="inlineStr">
        <is>
          <t>Non-compensation general and administration</t>
        </is>
      </c>
      <c r="F105" s="16">
        <f>Inputs!$C$76</f>
        <v/>
      </c>
      <c r="G105" s="16">
        <f>F105*(1+G104)</f>
        <v/>
      </c>
      <c r="H105" s="16">
        <f>G105*(1+H104)</f>
        <v/>
      </c>
      <c r="I105" s="16">
        <f>H105*(1+I104)</f>
        <v/>
      </c>
      <c r="J105" s="16">
        <f>I105*(1+J104)</f>
        <v/>
      </c>
      <c r="K105" s="16">
        <f>J105*(1+K104)</f>
        <v/>
      </c>
    </row>
    <row r="106">
      <c r="B106" s="7" t="inlineStr">
        <is>
          <t>Non-compensation selling expense</t>
        </is>
      </c>
      <c r="F106" s="16">
        <f>Inputs!$C$75</f>
        <v/>
      </c>
      <c r="G106" s="16">
        <f>Inputs!$G$106</f>
        <v/>
      </c>
      <c r="H106" s="16">
        <f>G106*(1+Inputs!$G$107)</f>
        <v/>
      </c>
      <c r="I106" s="16">
        <f>H106*(1+Inputs!$G$107)</f>
        <v/>
      </c>
      <c r="J106" s="16">
        <f>I106*(1+Inputs!$G$107)</f>
        <v/>
      </c>
      <c r="K106" s="16">
        <f>J106*(1+Inputs!$G$107)</f>
        <v/>
      </c>
    </row>
    <row r="107">
      <c r="B107" s="7" t="inlineStr">
        <is>
          <t xml:space="preserve">    Memo: implied growth in non-comp selling</t>
        </is>
      </c>
      <c r="G107" s="23">
        <f>G106/F106-1</f>
        <v/>
      </c>
      <c r="H107" s="23">
        <f>H106/G106-1</f>
        <v/>
      </c>
      <c r="I107" s="23">
        <f>I106/H106-1</f>
        <v/>
      </c>
      <c r="J107" s="23">
        <f>J106/I106-1</f>
        <v/>
      </c>
      <c r="K107" s="23">
        <f>K106/J106-1</f>
        <v/>
      </c>
      <c r="Q107" s="9" t="inlineStr">
        <is>
          <t>FY2026E shows the -34.3% reset from the $228,140 FY2025A actual; FY2027E-FY2030E show the scenario growth rate, confirming the two Inputs-sheet parameters drive all five years</t>
        </is>
      </c>
    </row>
    <row r="108">
      <c r="B108" s="7" t="inlineStr">
        <is>
          <t>Normalised bad debt expense</t>
        </is>
      </c>
      <c r="F108" s="16">
        <f>Inputs!$C$28</f>
        <v/>
      </c>
      <c r="G108" s="16">
        <f>Inputs!$C$28</f>
        <v/>
      </c>
      <c r="H108" s="16">
        <f>Inputs!$C$28</f>
        <v/>
      </c>
      <c r="I108" s="16">
        <f>Inputs!$C$28</f>
        <v/>
      </c>
      <c r="J108" s="16">
        <f>Inputs!$C$28</f>
        <v/>
      </c>
      <c r="K108" s="16">
        <f>Inputs!$C$28</f>
        <v/>
      </c>
    </row>
    <row r="109">
      <c r="B109" s="3" t="inlineStr">
        <is>
          <t>= Total operating cost</t>
        </is>
      </c>
      <c r="F109" s="25">
        <f>F100+F101+F103+F105+F106+F108</f>
        <v/>
      </c>
      <c r="G109" s="25">
        <f>G100+G101+G103+G105+G106+G108</f>
        <v/>
      </c>
      <c r="H109" s="25">
        <f>H100+H101+H103+H105+H106+H108</f>
        <v/>
      </c>
      <c r="I109" s="25">
        <f>I100+I101+I103+I105+I106+I108</f>
        <v/>
      </c>
      <c r="J109" s="25">
        <f>J100+J101+J103+J105+J106+J108</f>
        <v/>
      </c>
      <c r="K109" s="25">
        <f>K100+K101+K103+K105+K106+K108</f>
        <v/>
      </c>
    </row>
    <row r="110">
      <c r="B110" s="3" t="inlineStr">
        <is>
          <t>= OPERATING INCOME (normalised cost base)</t>
        </is>
      </c>
      <c r="F110" s="31">
        <f>F92-F109</f>
        <v/>
      </c>
      <c r="G110" s="31">
        <f>G92-G109</f>
        <v/>
      </c>
      <c r="H110" s="31">
        <f>H92-H109</f>
        <v/>
      </c>
      <c r="I110" s="31">
        <f>I92-I109</f>
        <v/>
      </c>
      <c r="J110" s="31">
        <f>J92-J109</f>
        <v/>
      </c>
      <c r="K110" s="31">
        <f>K92-K109</f>
        <v/>
      </c>
    </row>
    <row r="111">
      <c r="B111" s="7" t="inlineStr">
        <is>
          <t xml:space="preserve">    Operating margin</t>
        </is>
      </c>
      <c r="F111" s="23">
        <f>F110/F92</f>
        <v/>
      </c>
      <c r="G111" s="23">
        <f>G110/G92</f>
        <v/>
      </c>
      <c r="H111" s="23">
        <f>H110/H92</f>
        <v/>
      </c>
      <c r="I111" s="23">
        <f>I110/I92</f>
        <v/>
      </c>
      <c r="J111" s="23">
        <f>J110/J92</f>
        <v/>
      </c>
      <c r="K111" s="23">
        <f>K110/K92</f>
        <v/>
      </c>
    </row>
    <row r="112">
      <c r="B112" s="3" t="inlineStr">
        <is>
          <t>= OWNERS' EARNINGS (see bridge above; repeated here)</t>
        </is>
      </c>
      <c r="F112" s="31">
        <f>(F110+Inputs!$F$39-Inputs!$F$40)*(1-Inputs!$C$27)-Inputs!$C$27*Inputs!$C$29-(Inputs!$F$41-Inputs!$F$38*Inputs!$C$27)</f>
        <v/>
      </c>
      <c r="G112" s="31">
        <f>(G110+Inputs!$F$39-Inputs!$F$40)*(1-Inputs!$C$27)-Inputs!$C$27*Inputs!$C$29-Inputs!$C$30</f>
        <v/>
      </c>
      <c r="H112" s="31">
        <f>(H110+Inputs!$F$39-Inputs!$F$40)*(1-Inputs!$C$27)-Inputs!$C$27*Inputs!$C$29-Inputs!$C$30</f>
        <v/>
      </c>
      <c r="I112" s="31">
        <f>(I110+Inputs!$F$39-Inputs!$F$40)*(1-Inputs!$C$27)-Inputs!$C$27*Inputs!$C$29-Inputs!$C$30</f>
        <v/>
      </c>
      <c r="J112" s="31">
        <f>(J110+Inputs!$F$39-Inputs!$F$40)*(1-Inputs!$C$27)-Inputs!$C$27*Inputs!$C$29-Inputs!$C$30</f>
        <v/>
      </c>
      <c r="K112" s="31">
        <f>(K110+Inputs!$F$39-Inputs!$F$40)*(1-Inputs!$C$27)-Inputs!$C$27*Inputs!$C$29-Inputs!$C$30</f>
        <v/>
      </c>
      <c r="Q112" s="9" t="inlineStr">
        <is>
          <t>Algebraically identical to the bridge above: (pre-tax OE) - [tax x (pre-tax OE + normalised SBC)] - permanent differences</t>
        </is>
      </c>
    </row>
    <row r="113">
      <c r="B113" s="7" t="inlineStr">
        <is>
          <t xml:space="preserve">    Owners' earnings margin</t>
        </is>
      </c>
      <c r="F113" s="23">
        <f>F112/F92</f>
        <v/>
      </c>
      <c r="G113" s="23">
        <f>G112/G92</f>
        <v/>
      </c>
      <c r="H113" s="23">
        <f>H112/H92</f>
        <v/>
      </c>
      <c r="I113" s="23">
        <f>I112/I92</f>
        <v/>
      </c>
      <c r="J113" s="23">
        <f>J112/J92</f>
        <v/>
      </c>
      <c r="K113" s="23">
        <f>K112/K92</f>
        <v/>
      </c>
    </row>
    <row r="114"/>
    <row r="115">
      <c r="B115" s="5" t="inlineStr">
        <is>
          <t>SCENARIO ENGINE -- BEAR - NO COST RESPONSE   (FC s4/s5 Bear: legacy account lost outright in FY2028E, NO cost response (CM 4.4 revealed preference))</t>
        </is>
      </c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</row>
    <row r="116">
      <c r="F116" s="17" t="inlineStr">
        <is>
          <t>FY2025A</t>
        </is>
      </c>
      <c r="G116" s="21" t="inlineStr">
        <is>
          <t>FY2026E</t>
        </is>
      </c>
      <c r="H116" s="21" t="inlineStr">
        <is>
          <t>FY2027E</t>
        </is>
      </c>
      <c r="I116" s="21" t="inlineStr">
        <is>
          <t>FY2028E</t>
        </is>
      </c>
      <c r="J116" s="21" t="inlineStr">
        <is>
          <t>FY2029E</t>
        </is>
      </c>
      <c r="K116" s="21" t="inlineStr">
        <is>
          <t>FY2030E</t>
        </is>
      </c>
    </row>
    <row r="117">
      <c r="B117" s="3" t="inlineStr">
        <is>
          <t>Revenue drivers (linked to Inputs section 7)</t>
        </is>
      </c>
    </row>
    <row r="118">
      <c r="B118" s="7" t="inlineStr">
        <is>
          <t xml:space="preserve">    US ex-legacy growth (constant currency, USD)</t>
        </is>
      </c>
      <c r="G118" s="23">
        <f>Inputs!G112</f>
        <v/>
      </c>
      <c r="H118" s="23">
        <f>Inputs!H112</f>
        <v/>
      </c>
      <c r="I118" s="23">
        <f>Inputs!I112</f>
        <v/>
      </c>
      <c r="J118" s="23">
        <f>Inputs!J112</f>
        <v/>
      </c>
      <c r="K118" s="23">
        <f>Inputs!K112</f>
        <v/>
      </c>
    </row>
    <row r="119">
      <c r="B119" s="7" t="inlineStr">
        <is>
          <t xml:space="preserve">    Legacy largest US account growth (USD)</t>
        </is>
      </c>
      <c r="G119" s="23">
        <f>Inputs!G113</f>
        <v/>
      </c>
      <c r="H119" s="23">
        <f>Inputs!H113</f>
        <v/>
      </c>
      <c r="I119" s="23">
        <f>Inputs!I113</f>
        <v/>
      </c>
      <c r="J119" s="23">
        <f>Inputs!J113</f>
        <v/>
      </c>
      <c r="K119" s="23">
        <f>Inputs!K113</f>
        <v/>
      </c>
    </row>
    <row r="120">
      <c r="B120" s="7" t="inlineStr">
        <is>
          <t xml:space="preserve">    Mexico account growth (USD)</t>
        </is>
      </c>
      <c r="G120" s="23">
        <f>Inputs!G114</f>
        <v/>
      </c>
      <c r="H120" s="23">
        <f>Inputs!H114</f>
        <v/>
      </c>
      <c r="I120" s="23">
        <f>Inputs!I114</f>
        <v/>
      </c>
      <c r="J120" s="23">
        <f>Inputs!J114</f>
        <v/>
      </c>
      <c r="K120" s="23">
        <f>Inputs!K114</f>
        <v/>
      </c>
    </row>
    <row r="121">
      <c r="B121" s="7" t="inlineStr">
        <is>
          <t xml:space="preserve">    Other international growth (USD)</t>
        </is>
      </c>
      <c r="G121" s="23">
        <f>Inputs!G115</f>
        <v/>
      </c>
      <c r="H121" s="23">
        <f>Inputs!H115</f>
        <v/>
      </c>
      <c r="I121" s="23">
        <f>Inputs!I115</f>
        <v/>
      </c>
      <c r="J121" s="23">
        <f>Inputs!J115</f>
        <v/>
      </c>
      <c r="K121" s="23">
        <f>Inputs!K115</f>
        <v/>
      </c>
    </row>
    <row r="122">
      <c r="B122" s="7" t="inlineStr">
        <is>
          <t xml:space="preserve">    Canada growth (CAD)</t>
        </is>
      </c>
      <c r="G122" s="23">
        <f>Inputs!G116</f>
        <v/>
      </c>
      <c r="H122" s="23">
        <f>Inputs!H116</f>
        <v/>
      </c>
      <c r="I122" s="23">
        <f>Inputs!I116</f>
        <v/>
      </c>
      <c r="J122" s="23">
        <f>Inputs!J116</f>
        <v/>
      </c>
      <c r="K122" s="23">
        <f>Inputs!K116</f>
        <v/>
      </c>
    </row>
    <row r="123">
      <c r="B123" s="7" t="inlineStr">
        <is>
          <t>US base excluding legacy account (USD)</t>
        </is>
      </c>
      <c r="F123" s="16">
        <f>Inputs!$C$58</f>
        <v/>
      </c>
      <c r="G123" s="16">
        <f>F123*(1+G118)</f>
        <v/>
      </c>
      <c r="H123" s="16">
        <f>G123*(1+H118)</f>
        <v/>
      </c>
      <c r="I123" s="16">
        <f>H123*(1+I118)</f>
        <v/>
      </c>
      <c r="J123" s="16">
        <f>I123*(1+J118)</f>
        <v/>
      </c>
      <c r="K123" s="16">
        <f>J123*(1+K118)</f>
        <v/>
      </c>
    </row>
    <row r="124">
      <c r="B124" s="7" t="inlineStr">
        <is>
          <t>Legacy largest US account (USD)</t>
        </is>
      </c>
      <c r="F124" s="16">
        <f>Inputs!$C$59</f>
        <v/>
      </c>
      <c r="G124" s="16">
        <f>F124*(1+G119)</f>
        <v/>
      </c>
      <c r="H124" s="16">
        <f>G124*(1+H119)</f>
        <v/>
      </c>
      <c r="I124" s="16">
        <f>H124*(1+I119)</f>
        <v/>
      </c>
      <c r="J124" s="16">
        <f>I124*(1+J119)</f>
        <v/>
      </c>
      <c r="K124" s="16">
        <f>J124*(1+K119)</f>
        <v/>
      </c>
    </row>
    <row r="125">
      <c r="B125" s="7" t="inlineStr">
        <is>
          <t>Mexico account (USD)</t>
        </is>
      </c>
      <c r="F125" s="16">
        <f>Inputs!$C$60</f>
        <v/>
      </c>
      <c r="G125" s="16">
        <f>F125*(1+G120)</f>
        <v/>
      </c>
      <c r="H125" s="16">
        <f>G125*(1+H120)</f>
        <v/>
      </c>
      <c r="I125" s="16">
        <f>H125*(1+I120)</f>
        <v/>
      </c>
      <c r="J125" s="16">
        <f>I125*(1+J120)</f>
        <v/>
      </c>
      <c r="K125" s="16">
        <f>J125*(1+K120)</f>
        <v/>
      </c>
    </row>
    <row r="126">
      <c r="B126" s="7" t="inlineStr">
        <is>
          <t>Other international (USD)</t>
        </is>
      </c>
      <c r="F126" s="16">
        <f>Inputs!$C$61</f>
        <v/>
      </c>
      <c r="G126" s="16">
        <f>F126*(1+G121)</f>
        <v/>
      </c>
      <c r="H126" s="16">
        <f>G126*(1+H121)</f>
        <v/>
      </c>
      <c r="I126" s="16">
        <f>H126*(1+I121)</f>
        <v/>
      </c>
      <c r="J126" s="16">
        <f>I126*(1+J121)</f>
        <v/>
      </c>
      <c r="K126" s="16">
        <f>J126*(1+K121)</f>
        <v/>
      </c>
    </row>
    <row r="127">
      <c r="B127" s="3" t="inlineStr">
        <is>
          <t>= Total USD-billed revenue (USD)</t>
        </is>
      </c>
      <c r="F127" s="12">
        <f>SUM(F123:F126)</f>
        <v/>
      </c>
      <c r="G127" s="12">
        <f>SUM(G123:G126)</f>
        <v/>
      </c>
      <c r="H127" s="12">
        <f>SUM(H123:H126)</f>
        <v/>
      </c>
      <c r="I127" s="12">
        <f>SUM(I123:I126)</f>
        <v/>
      </c>
      <c r="J127" s="12">
        <f>SUM(J123:J126)</f>
        <v/>
      </c>
      <c r="K127" s="12">
        <f>SUM(K123:K126)</f>
        <v/>
      </c>
    </row>
    <row r="128">
      <c r="B128" s="7" t="inlineStr">
        <is>
          <t>USD/CAD average rate</t>
        </is>
      </c>
      <c r="F128" s="27">
        <f>Inputs!$C$55</f>
        <v/>
      </c>
      <c r="G128" s="27">
        <f>Inputs!G117</f>
        <v/>
      </c>
      <c r="H128" s="27">
        <f>Inputs!H117</f>
        <v/>
      </c>
      <c r="I128" s="27">
        <f>Inputs!I117</f>
        <v/>
      </c>
      <c r="J128" s="27">
        <f>Inputs!J117</f>
        <v/>
      </c>
      <c r="K128" s="27">
        <f>Inputs!K117</f>
        <v/>
      </c>
    </row>
    <row r="129">
      <c r="B129" s="7" t="inlineStr">
        <is>
          <t xml:space="preserve">    USD-billed revenue translated to CAD</t>
        </is>
      </c>
      <c r="F129" s="16">
        <f>F127*F128</f>
        <v/>
      </c>
      <c r="G129" s="16">
        <f>G127*G128</f>
        <v/>
      </c>
      <c r="H129" s="16">
        <f>H127*H128</f>
        <v/>
      </c>
      <c r="I129" s="16">
        <f>I127*I128</f>
        <v/>
      </c>
      <c r="J129" s="16">
        <f>J127*J128</f>
        <v/>
      </c>
      <c r="K129" s="16">
        <f>K127*K128</f>
        <v/>
      </c>
    </row>
    <row r="130">
      <c r="B130" s="7" t="inlineStr">
        <is>
          <t xml:space="preserve">    Canada revenue (CAD, not translated)</t>
        </is>
      </c>
      <c r="F130" s="16">
        <f>Inputs!$C$62</f>
        <v/>
      </c>
      <c r="G130" s="16">
        <f>F130*(1+G122)</f>
        <v/>
      </c>
      <c r="H130" s="16">
        <f>G130*(1+H122)</f>
        <v/>
      </c>
      <c r="I130" s="16">
        <f>H130*(1+I122)</f>
        <v/>
      </c>
      <c r="J130" s="16">
        <f>I130*(1+J122)</f>
        <v/>
      </c>
      <c r="K130" s="16">
        <f>J130*(1+K122)</f>
        <v/>
      </c>
    </row>
    <row r="131">
      <c r="B131" s="3" t="inlineStr">
        <is>
          <t>= TOTAL REVENUE (CAD)</t>
        </is>
      </c>
      <c r="F131" s="25">
        <f>F129+F130</f>
        <v/>
      </c>
      <c r="G131" s="25">
        <f>G129+G130</f>
        <v/>
      </c>
      <c r="H131" s="25">
        <f>H129+H130</f>
        <v/>
      </c>
      <c r="I131" s="25">
        <f>I129+I130</f>
        <v/>
      </c>
      <c r="J131" s="25">
        <f>J129+J130</f>
        <v/>
      </c>
      <c r="K131" s="25">
        <f>K129+K130</f>
        <v/>
      </c>
    </row>
    <row r="132">
      <c r="B132" s="7" t="inlineStr">
        <is>
          <t xml:space="preserve">    Revenue growth</t>
        </is>
      </c>
      <c r="F132" s="23">
        <f>F131/Inputs!E35-1</f>
        <v/>
      </c>
      <c r="G132" s="23">
        <f>G131/F131-1</f>
        <v/>
      </c>
      <c r="H132" s="23">
        <f>H131/G131-1</f>
        <v/>
      </c>
      <c r="I132" s="23">
        <f>I131/H131-1</f>
        <v/>
      </c>
      <c r="J132" s="23">
        <f>J131/I131-1</f>
        <v/>
      </c>
      <c r="K132" s="23">
        <f>K131/J131-1</f>
        <v/>
      </c>
    </row>
    <row r="133"/>
    <row r="134">
      <c r="B134" s="3" t="inlineStr">
        <is>
          <t>Cost build</t>
        </is>
      </c>
    </row>
    <row r="135">
      <c r="B135" s="7" t="inlineStr">
        <is>
          <t>Average headcount</t>
        </is>
      </c>
      <c r="F135" s="28">
        <f>Inputs!$C$71</f>
        <v/>
      </c>
      <c r="G135" s="28">
        <f>Inputs!G118</f>
        <v/>
      </c>
      <c r="H135" s="28">
        <f>Inputs!H118</f>
        <v/>
      </c>
      <c r="I135" s="28">
        <f>Inputs!I118</f>
        <v/>
      </c>
      <c r="J135" s="28">
        <f>Inputs!J118</f>
        <v/>
      </c>
      <c r="K135" s="28">
        <f>Inputs!K118</f>
        <v/>
      </c>
    </row>
    <row r="136">
      <c r="B136" s="7" t="inlineStr">
        <is>
          <t xml:space="preserve">    Wage inflation</t>
        </is>
      </c>
      <c r="G136" s="23">
        <f>Inputs!G119</f>
        <v/>
      </c>
      <c r="H136" s="23">
        <f>Inputs!H119</f>
        <v/>
      </c>
      <c r="I136" s="23">
        <f>Inputs!I119</f>
        <v/>
      </c>
      <c r="J136" s="23">
        <f>Inputs!J119</f>
        <v/>
      </c>
      <c r="K136" s="23">
        <f>Inputs!K119</f>
        <v/>
      </c>
    </row>
    <row r="137">
      <c r="B137" s="7" t="inlineStr">
        <is>
          <t xml:space="preserve">    Cumulative wage index vs FY2025</t>
        </is>
      </c>
      <c r="F137" s="29">
        <f>1</f>
        <v/>
      </c>
      <c r="G137" s="29">
        <f>F137*(1+G136)</f>
        <v/>
      </c>
      <c r="H137" s="29">
        <f>G137*(1+H136)</f>
        <v/>
      </c>
      <c r="I137" s="29">
        <f>H137*(1+I136)</f>
        <v/>
      </c>
      <c r="J137" s="29">
        <f>I137*(1+J136)</f>
        <v/>
      </c>
      <c r="K137" s="29">
        <f>J137*(1+K136)</f>
        <v/>
      </c>
    </row>
    <row r="138">
      <c r="B138" s="7" t="inlineStr">
        <is>
          <t xml:space="preserve">    Cash compensation per head</t>
        </is>
      </c>
      <c r="F138" s="16">
        <f>Inputs!$C$73</f>
        <v/>
      </c>
      <c r="G138" s="16">
        <f>$F$138*G137</f>
        <v/>
      </c>
      <c r="H138" s="16">
        <f>$F$138*H137</f>
        <v/>
      </c>
      <c r="I138" s="16">
        <f>$F$138*I137</f>
        <v/>
      </c>
      <c r="J138" s="16">
        <f>$F$138*J137</f>
        <v/>
      </c>
      <c r="K138" s="16">
        <f>$F$138*K137</f>
        <v/>
      </c>
    </row>
    <row r="139">
      <c r="B139" s="7" t="inlineStr">
        <is>
          <t>Cash compensation  (= headcount x cost per head)</t>
        </is>
      </c>
      <c r="F139" s="16">
        <f>F135*F138</f>
        <v/>
      </c>
      <c r="G139" s="16">
        <f>G135*G138</f>
        <v/>
      </c>
      <c r="H139" s="16">
        <f>H135*H138</f>
        <v/>
      </c>
      <c r="I139" s="16">
        <f>I135*I138</f>
        <v/>
      </c>
      <c r="J139" s="16">
        <f>J135*J138</f>
        <v/>
      </c>
      <c r="K139" s="16">
        <f>K135*K138</f>
        <v/>
      </c>
    </row>
    <row r="140">
      <c r="B140" s="7" t="inlineStr">
        <is>
          <t>Normalised share-based compensation</t>
        </is>
      </c>
      <c r="F140" s="16">
        <f>Inputs!$C$29</f>
        <v/>
      </c>
      <c r="G140" s="16">
        <f>Inputs!$C$29</f>
        <v/>
      </c>
      <c r="H140" s="16">
        <f>Inputs!$C$29</f>
        <v/>
      </c>
      <c r="I140" s="16">
        <f>Inputs!$C$29</f>
        <v/>
      </c>
      <c r="J140" s="16">
        <f>Inputs!$C$29</f>
        <v/>
      </c>
      <c r="K140" s="16">
        <f>Inputs!$C$29</f>
        <v/>
      </c>
    </row>
    <row r="141">
      <c r="B141" s="7" t="inlineStr">
        <is>
          <t xml:space="preserve">    Non-comp cost-of-sales elasticity to revenue growth</t>
        </is>
      </c>
      <c r="G141" s="30">
        <f>Inputs!G120</f>
        <v/>
      </c>
      <c r="H141" s="30">
        <f>Inputs!H120</f>
        <v/>
      </c>
      <c r="I141" s="30">
        <f>Inputs!I120</f>
        <v/>
      </c>
      <c r="J141" s="30">
        <f>Inputs!J120</f>
        <v/>
      </c>
      <c r="K141" s="30">
        <f>Inputs!K120</f>
        <v/>
      </c>
    </row>
    <row r="142">
      <c r="B142" s="7" t="inlineStr">
        <is>
          <t>Non-compensation cost of sales</t>
        </is>
      </c>
      <c r="F142" s="16">
        <f>Inputs!$C$74</f>
        <v/>
      </c>
      <c r="G142" s="16">
        <f>F142*(1+G141*(G131/F131-1))</f>
        <v/>
      </c>
      <c r="H142" s="16">
        <f>G142*(1+H141*(H131/G131-1))</f>
        <v/>
      </c>
      <c r="I142" s="16">
        <f>H142*(1+I141*(I131/H131-1))</f>
        <v/>
      </c>
      <c r="J142" s="16">
        <f>I142*(1+J141*(J131/I131-1))</f>
        <v/>
      </c>
      <c r="K142" s="16">
        <f>J142*(1+K141*(K131/J131-1))</f>
        <v/>
      </c>
    </row>
    <row r="143">
      <c r="B143" s="7" t="inlineStr">
        <is>
          <t xml:space="preserve">    Non-comp G&amp;A growth</t>
        </is>
      </c>
      <c r="G143" s="23">
        <f>Inputs!G123</f>
        <v/>
      </c>
      <c r="H143" s="23">
        <f>Inputs!H123</f>
        <v/>
      </c>
      <c r="I143" s="23">
        <f>Inputs!I123</f>
        <v/>
      </c>
      <c r="J143" s="23">
        <f>Inputs!J123</f>
        <v/>
      </c>
      <c r="K143" s="23">
        <f>Inputs!K123</f>
        <v/>
      </c>
    </row>
    <row r="144">
      <c r="B144" s="7" t="inlineStr">
        <is>
          <t>Non-compensation general and administration</t>
        </is>
      </c>
      <c r="F144" s="16">
        <f>Inputs!$C$76</f>
        <v/>
      </c>
      <c r="G144" s="16">
        <f>F144*(1+G143)</f>
        <v/>
      </c>
      <c r="H144" s="16">
        <f>G144*(1+H143)</f>
        <v/>
      </c>
      <c r="I144" s="16">
        <f>H144*(1+I143)</f>
        <v/>
      </c>
      <c r="J144" s="16">
        <f>I144*(1+J143)</f>
        <v/>
      </c>
      <c r="K144" s="16">
        <f>J144*(1+K143)</f>
        <v/>
      </c>
    </row>
    <row r="145">
      <c r="B145" s="7" t="inlineStr">
        <is>
          <t>Non-compensation selling expense</t>
        </is>
      </c>
      <c r="F145" s="16">
        <f>Inputs!$C$75</f>
        <v/>
      </c>
      <c r="G145" s="16">
        <f>Inputs!$G$121</f>
        <v/>
      </c>
      <c r="H145" s="16">
        <f>G145*(1+Inputs!$G$122)</f>
        <v/>
      </c>
      <c r="I145" s="16">
        <f>H145*(1+Inputs!$G$122)</f>
        <v/>
      </c>
      <c r="J145" s="16">
        <f>I145*(1+Inputs!$G$122)</f>
        <v/>
      </c>
      <c r="K145" s="16">
        <f>J145*(1+Inputs!$G$122)</f>
        <v/>
      </c>
    </row>
    <row r="146">
      <c r="B146" s="7" t="inlineStr">
        <is>
          <t xml:space="preserve">    Memo: implied growth in non-comp selling</t>
        </is>
      </c>
      <c r="G146" s="23">
        <f>G145/F145-1</f>
        <v/>
      </c>
      <c r="H146" s="23">
        <f>H145/G145-1</f>
        <v/>
      </c>
      <c r="I146" s="23">
        <f>I145/H145-1</f>
        <v/>
      </c>
      <c r="J146" s="23">
        <f>J145/I145-1</f>
        <v/>
      </c>
      <c r="K146" s="23">
        <f>K145/J145-1</f>
        <v/>
      </c>
      <c r="Q146" s="9" t="inlineStr">
        <is>
          <t>FY2026E shows the -34.3% reset from the $228,140 FY2025A actual; FY2027E-FY2030E show the scenario growth rate, confirming the two Inputs-sheet parameters drive all five years</t>
        </is>
      </c>
    </row>
    <row r="147">
      <c r="B147" s="7" t="inlineStr">
        <is>
          <t>Normalised bad debt expense</t>
        </is>
      </c>
      <c r="F147" s="16">
        <f>Inputs!$C$28</f>
        <v/>
      </c>
      <c r="G147" s="16">
        <f>Inputs!$C$28</f>
        <v/>
      </c>
      <c r="H147" s="16">
        <f>Inputs!$C$28</f>
        <v/>
      </c>
      <c r="I147" s="16">
        <f>Inputs!$C$28</f>
        <v/>
      </c>
      <c r="J147" s="16">
        <f>Inputs!$C$28</f>
        <v/>
      </c>
      <c r="K147" s="16">
        <f>Inputs!$C$28</f>
        <v/>
      </c>
    </row>
    <row r="148">
      <c r="B148" s="3" t="inlineStr">
        <is>
          <t>= Total operating cost</t>
        </is>
      </c>
      <c r="F148" s="25">
        <f>F139+F140+F142+F144+F145+F147</f>
        <v/>
      </c>
      <c r="G148" s="25">
        <f>G139+G140+G142+G144+G145+G147</f>
        <v/>
      </c>
      <c r="H148" s="25">
        <f>H139+H140+H142+H144+H145+H147</f>
        <v/>
      </c>
      <c r="I148" s="25">
        <f>I139+I140+I142+I144+I145+I147</f>
        <v/>
      </c>
      <c r="J148" s="25">
        <f>J139+J140+J142+J144+J145+J147</f>
        <v/>
      </c>
      <c r="K148" s="25">
        <f>K139+K140+K142+K144+K145+K147</f>
        <v/>
      </c>
    </row>
    <row r="149">
      <c r="B149" s="3" t="inlineStr">
        <is>
          <t>= OPERATING INCOME (normalised cost base)</t>
        </is>
      </c>
      <c r="F149" s="31">
        <f>F131-F148</f>
        <v/>
      </c>
      <c r="G149" s="31">
        <f>G131-G148</f>
        <v/>
      </c>
      <c r="H149" s="31">
        <f>H131-H148</f>
        <v/>
      </c>
      <c r="I149" s="31">
        <f>I131-I148</f>
        <v/>
      </c>
      <c r="J149" s="31">
        <f>J131-J148</f>
        <v/>
      </c>
      <c r="K149" s="31">
        <f>K131-K148</f>
        <v/>
      </c>
    </row>
    <row r="150">
      <c r="B150" s="7" t="inlineStr">
        <is>
          <t xml:space="preserve">    Operating margin</t>
        </is>
      </c>
      <c r="F150" s="23">
        <f>F149/F131</f>
        <v/>
      </c>
      <c r="G150" s="23">
        <f>G149/G131</f>
        <v/>
      </c>
      <c r="H150" s="23">
        <f>H149/H131</f>
        <v/>
      </c>
      <c r="I150" s="23">
        <f>I149/I131</f>
        <v/>
      </c>
      <c r="J150" s="23">
        <f>J149/J131</f>
        <v/>
      </c>
      <c r="K150" s="23">
        <f>K149/K131</f>
        <v/>
      </c>
    </row>
    <row r="151">
      <c r="B151" s="3" t="inlineStr">
        <is>
          <t>= OWNERS' EARNINGS (see bridge above; repeated here)</t>
        </is>
      </c>
      <c r="F151" s="31">
        <f>(F149+Inputs!$F$39-Inputs!$F$40)*(1-Inputs!$C$27)-Inputs!$C$27*Inputs!$C$29-(Inputs!$F$41-Inputs!$F$38*Inputs!$C$27)</f>
        <v/>
      </c>
      <c r="G151" s="31">
        <f>(G149+Inputs!$F$39-Inputs!$F$40)*(1-Inputs!$C$27)-Inputs!$C$27*Inputs!$C$29-Inputs!$C$30</f>
        <v/>
      </c>
      <c r="H151" s="31">
        <f>(H149+Inputs!$F$39-Inputs!$F$40)*(1-Inputs!$C$27)-Inputs!$C$27*Inputs!$C$29-Inputs!$C$30</f>
        <v/>
      </c>
      <c r="I151" s="31">
        <f>(I149+Inputs!$F$39-Inputs!$F$40)*(1-Inputs!$C$27)-Inputs!$C$27*Inputs!$C$29-Inputs!$C$30</f>
        <v/>
      </c>
      <c r="J151" s="31">
        <f>(J149+Inputs!$F$39-Inputs!$F$40)*(1-Inputs!$C$27)-Inputs!$C$27*Inputs!$C$29-Inputs!$C$30</f>
        <v/>
      </c>
      <c r="K151" s="31">
        <f>(K149+Inputs!$F$39-Inputs!$F$40)*(1-Inputs!$C$27)-Inputs!$C$27*Inputs!$C$29-Inputs!$C$30</f>
        <v/>
      </c>
      <c r="Q151" s="9" t="inlineStr">
        <is>
          <t>Algebraically identical to the bridge above: (pre-tax OE) - [tax x (pre-tax OE + normalised SBC)] - permanent differences</t>
        </is>
      </c>
    </row>
    <row r="152">
      <c r="B152" s="7" t="inlineStr">
        <is>
          <t xml:space="preserve">    Owners' earnings margin</t>
        </is>
      </c>
      <c r="F152" s="23">
        <f>F151/F131</f>
        <v/>
      </c>
      <c r="G152" s="23">
        <f>G151/G131</f>
        <v/>
      </c>
      <c r="H152" s="23">
        <f>H151/H131</f>
        <v/>
      </c>
      <c r="I152" s="23">
        <f>I151/I131</f>
        <v/>
      </c>
      <c r="J152" s="23">
        <f>J151/J131</f>
        <v/>
      </c>
      <c r="K152" s="23">
        <f>K151/K131</f>
        <v/>
      </c>
    </row>
    <row r="153"/>
    <row r="154">
      <c r="B154" s="5" t="inlineStr">
        <is>
          <t>SCENARIO ENGINE -- BEAR - MANAGEMENT RIGHT-SIZES   (FC s9b: same revenue path as Bear, but headcount frozen at 21 then trimmed to 20)</t>
        </is>
      </c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</row>
    <row r="155">
      <c r="F155" s="17" t="inlineStr">
        <is>
          <t>FY2025A</t>
        </is>
      </c>
      <c r="G155" s="21" t="inlineStr">
        <is>
          <t>FY2026E</t>
        </is>
      </c>
      <c r="H155" s="21" t="inlineStr">
        <is>
          <t>FY2027E</t>
        </is>
      </c>
      <c r="I155" s="21" t="inlineStr">
        <is>
          <t>FY2028E</t>
        </is>
      </c>
      <c r="J155" s="21" t="inlineStr">
        <is>
          <t>FY2029E</t>
        </is>
      </c>
      <c r="K155" s="21" t="inlineStr">
        <is>
          <t>FY2030E</t>
        </is>
      </c>
    </row>
    <row r="156">
      <c r="B156" s="3" t="inlineStr">
        <is>
          <t>Revenue drivers (linked to Inputs section 7)</t>
        </is>
      </c>
    </row>
    <row r="157">
      <c r="B157" s="7" t="inlineStr">
        <is>
          <t xml:space="preserve">    US ex-legacy growth (constant currency, USD)</t>
        </is>
      </c>
      <c r="G157" s="23">
        <f>Inputs!G127</f>
        <v/>
      </c>
      <c r="H157" s="23">
        <f>Inputs!H127</f>
        <v/>
      </c>
      <c r="I157" s="23">
        <f>Inputs!I127</f>
        <v/>
      </c>
      <c r="J157" s="23">
        <f>Inputs!J127</f>
        <v/>
      </c>
      <c r="K157" s="23">
        <f>Inputs!K127</f>
        <v/>
      </c>
    </row>
    <row r="158">
      <c r="B158" s="7" t="inlineStr">
        <is>
          <t xml:space="preserve">    Legacy largest US account growth (USD)</t>
        </is>
      </c>
      <c r="G158" s="23">
        <f>Inputs!G128</f>
        <v/>
      </c>
      <c r="H158" s="23">
        <f>Inputs!H128</f>
        <v/>
      </c>
      <c r="I158" s="23">
        <f>Inputs!I128</f>
        <v/>
      </c>
      <c r="J158" s="23">
        <f>Inputs!J128</f>
        <v/>
      </c>
      <c r="K158" s="23">
        <f>Inputs!K128</f>
        <v/>
      </c>
    </row>
    <row r="159">
      <c r="B159" s="7" t="inlineStr">
        <is>
          <t xml:space="preserve">    Mexico account growth (USD)</t>
        </is>
      </c>
      <c r="G159" s="23">
        <f>Inputs!G129</f>
        <v/>
      </c>
      <c r="H159" s="23">
        <f>Inputs!H129</f>
        <v/>
      </c>
      <c r="I159" s="23">
        <f>Inputs!I129</f>
        <v/>
      </c>
      <c r="J159" s="23">
        <f>Inputs!J129</f>
        <v/>
      </c>
      <c r="K159" s="23">
        <f>Inputs!K129</f>
        <v/>
      </c>
    </row>
    <row r="160">
      <c r="B160" s="7" t="inlineStr">
        <is>
          <t xml:space="preserve">    Other international growth (USD)</t>
        </is>
      </c>
      <c r="G160" s="23">
        <f>Inputs!G130</f>
        <v/>
      </c>
      <c r="H160" s="23">
        <f>Inputs!H130</f>
        <v/>
      </c>
      <c r="I160" s="23">
        <f>Inputs!I130</f>
        <v/>
      </c>
      <c r="J160" s="23">
        <f>Inputs!J130</f>
        <v/>
      </c>
      <c r="K160" s="23">
        <f>Inputs!K130</f>
        <v/>
      </c>
    </row>
    <row r="161">
      <c r="B161" s="7" t="inlineStr">
        <is>
          <t xml:space="preserve">    Canada growth (CAD)</t>
        </is>
      </c>
      <c r="G161" s="23">
        <f>Inputs!G131</f>
        <v/>
      </c>
      <c r="H161" s="23">
        <f>Inputs!H131</f>
        <v/>
      </c>
      <c r="I161" s="23">
        <f>Inputs!I131</f>
        <v/>
      </c>
      <c r="J161" s="23">
        <f>Inputs!J131</f>
        <v/>
      </c>
      <c r="K161" s="23">
        <f>Inputs!K131</f>
        <v/>
      </c>
    </row>
    <row r="162">
      <c r="B162" s="7" t="inlineStr">
        <is>
          <t>US base excluding legacy account (USD)</t>
        </is>
      </c>
      <c r="F162" s="16">
        <f>Inputs!$C$58</f>
        <v/>
      </c>
      <c r="G162" s="16">
        <f>F162*(1+G157)</f>
        <v/>
      </c>
      <c r="H162" s="16">
        <f>G162*(1+H157)</f>
        <v/>
      </c>
      <c r="I162" s="16">
        <f>H162*(1+I157)</f>
        <v/>
      </c>
      <c r="J162" s="16">
        <f>I162*(1+J157)</f>
        <v/>
      </c>
      <c r="K162" s="16">
        <f>J162*(1+K157)</f>
        <v/>
      </c>
    </row>
    <row r="163">
      <c r="B163" s="7" t="inlineStr">
        <is>
          <t>Legacy largest US account (USD)</t>
        </is>
      </c>
      <c r="F163" s="16">
        <f>Inputs!$C$59</f>
        <v/>
      </c>
      <c r="G163" s="16">
        <f>F163*(1+G158)</f>
        <v/>
      </c>
      <c r="H163" s="16">
        <f>G163*(1+H158)</f>
        <v/>
      </c>
      <c r="I163" s="16">
        <f>H163*(1+I158)</f>
        <v/>
      </c>
      <c r="J163" s="16">
        <f>I163*(1+J158)</f>
        <v/>
      </c>
      <c r="K163" s="16">
        <f>J163*(1+K158)</f>
        <v/>
      </c>
    </row>
    <row r="164">
      <c r="B164" s="7" t="inlineStr">
        <is>
          <t>Mexico account (USD)</t>
        </is>
      </c>
      <c r="F164" s="16">
        <f>Inputs!$C$60</f>
        <v/>
      </c>
      <c r="G164" s="16">
        <f>F164*(1+G159)</f>
        <v/>
      </c>
      <c r="H164" s="16">
        <f>G164*(1+H159)</f>
        <v/>
      </c>
      <c r="I164" s="16">
        <f>H164*(1+I159)</f>
        <v/>
      </c>
      <c r="J164" s="16">
        <f>I164*(1+J159)</f>
        <v/>
      </c>
      <c r="K164" s="16">
        <f>J164*(1+K159)</f>
        <v/>
      </c>
    </row>
    <row r="165">
      <c r="B165" s="7" t="inlineStr">
        <is>
          <t>Other international (USD)</t>
        </is>
      </c>
      <c r="F165" s="16">
        <f>Inputs!$C$61</f>
        <v/>
      </c>
      <c r="G165" s="16">
        <f>F165*(1+G160)</f>
        <v/>
      </c>
      <c r="H165" s="16">
        <f>G165*(1+H160)</f>
        <v/>
      </c>
      <c r="I165" s="16">
        <f>H165*(1+I160)</f>
        <v/>
      </c>
      <c r="J165" s="16">
        <f>I165*(1+J160)</f>
        <v/>
      </c>
      <c r="K165" s="16">
        <f>J165*(1+K160)</f>
        <v/>
      </c>
    </row>
    <row r="166">
      <c r="B166" s="3" t="inlineStr">
        <is>
          <t>= Total USD-billed revenue (USD)</t>
        </is>
      </c>
      <c r="F166" s="12">
        <f>SUM(F162:F165)</f>
        <v/>
      </c>
      <c r="G166" s="12">
        <f>SUM(G162:G165)</f>
        <v/>
      </c>
      <c r="H166" s="12">
        <f>SUM(H162:H165)</f>
        <v/>
      </c>
      <c r="I166" s="12">
        <f>SUM(I162:I165)</f>
        <v/>
      </c>
      <c r="J166" s="12">
        <f>SUM(J162:J165)</f>
        <v/>
      </c>
      <c r="K166" s="12">
        <f>SUM(K162:K165)</f>
        <v/>
      </c>
    </row>
    <row r="167">
      <c r="B167" s="7" t="inlineStr">
        <is>
          <t>USD/CAD average rate</t>
        </is>
      </c>
      <c r="F167" s="27">
        <f>Inputs!$C$55</f>
        <v/>
      </c>
      <c r="G167" s="27">
        <f>Inputs!G132</f>
        <v/>
      </c>
      <c r="H167" s="27">
        <f>Inputs!H132</f>
        <v/>
      </c>
      <c r="I167" s="27">
        <f>Inputs!I132</f>
        <v/>
      </c>
      <c r="J167" s="27">
        <f>Inputs!J132</f>
        <v/>
      </c>
      <c r="K167" s="27">
        <f>Inputs!K132</f>
        <v/>
      </c>
    </row>
    <row r="168">
      <c r="B168" s="7" t="inlineStr">
        <is>
          <t xml:space="preserve">    USD-billed revenue translated to CAD</t>
        </is>
      </c>
      <c r="F168" s="16">
        <f>F166*F167</f>
        <v/>
      </c>
      <c r="G168" s="16">
        <f>G166*G167</f>
        <v/>
      </c>
      <c r="H168" s="16">
        <f>H166*H167</f>
        <v/>
      </c>
      <c r="I168" s="16">
        <f>I166*I167</f>
        <v/>
      </c>
      <c r="J168" s="16">
        <f>J166*J167</f>
        <v/>
      </c>
      <c r="K168" s="16">
        <f>K166*K167</f>
        <v/>
      </c>
    </row>
    <row r="169">
      <c r="B169" s="7" t="inlineStr">
        <is>
          <t xml:space="preserve">    Canada revenue (CAD, not translated)</t>
        </is>
      </c>
      <c r="F169" s="16">
        <f>Inputs!$C$62</f>
        <v/>
      </c>
      <c r="G169" s="16">
        <f>F169*(1+G161)</f>
        <v/>
      </c>
      <c r="H169" s="16">
        <f>G169*(1+H161)</f>
        <v/>
      </c>
      <c r="I169" s="16">
        <f>H169*(1+I161)</f>
        <v/>
      </c>
      <c r="J169" s="16">
        <f>I169*(1+J161)</f>
        <v/>
      </c>
      <c r="K169" s="16">
        <f>J169*(1+K161)</f>
        <v/>
      </c>
    </row>
    <row r="170">
      <c r="B170" s="3" t="inlineStr">
        <is>
          <t>= TOTAL REVENUE (CAD)</t>
        </is>
      </c>
      <c r="F170" s="25">
        <f>F168+F169</f>
        <v/>
      </c>
      <c r="G170" s="25">
        <f>G168+G169</f>
        <v/>
      </c>
      <c r="H170" s="25">
        <f>H168+H169</f>
        <v/>
      </c>
      <c r="I170" s="25">
        <f>I168+I169</f>
        <v/>
      </c>
      <c r="J170" s="25">
        <f>J168+J169</f>
        <v/>
      </c>
      <c r="K170" s="25">
        <f>K168+K169</f>
        <v/>
      </c>
    </row>
    <row r="171">
      <c r="B171" s="7" t="inlineStr">
        <is>
          <t xml:space="preserve">    Revenue growth</t>
        </is>
      </c>
      <c r="F171" s="23">
        <f>F170/Inputs!E35-1</f>
        <v/>
      </c>
      <c r="G171" s="23">
        <f>G170/F170-1</f>
        <v/>
      </c>
      <c r="H171" s="23">
        <f>H170/G170-1</f>
        <v/>
      </c>
      <c r="I171" s="23">
        <f>I170/H170-1</f>
        <v/>
      </c>
      <c r="J171" s="23">
        <f>J170/I170-1</f>
        <v/>
      </c>
      <c r="K171" s="23">
        <f>K170/J170-1</f>
        <v/>
      </c>
    </row>
    <row r="172"/>
    <row r="173">
      <c r="B173" s="3" t="inlineStr">
        <is>
          <t>Cost build</t>
        </is>
      </c>
    </row>
    <row r="174">
      <c r="B174" s="7" t="inlineStr">
        <is>
          <t>Average headcount</t>
        </is>
      </c>
      <c r="F174" s="28">
        <f>Inputs!$C$71</f>
        <v/>
      </c>
      <c r="G174" s="28">
        <f>Inputs!G133</f>
        <v/>
      </c>
      <c r="H174" s="28">
        <f>Inputs!H133</f>
        <v/>
      </c>
      <c r="I174" s="28">
        <f>Inputs!I133</f>
        <v/>
      </c>
      <c r="J174" s="28">
        <f>Inputs!J133</f>
        <v/>
      </c>
      <c r="K174" s="28">
        <f>Inputs!K133</f>
        <v/>
      </c>
    </row>
    <row r="175">
      <c r="B175" s="7" t="inlineStr">
        <is>
          <t xml:space="preserve">    Wage inflation</t>
        </is>
      </c>
      <c r="G175" s="23">
        <f>Inputs!G134</f>
        <v/>
      </c>
      <c r="H175" s="23">
        <f>Inputs!H134</f>
        <v/>
      </c>
      <c r="I175" s="23">
        <f>Inputs!I134</f>
        <v/>
      </c>
      <c r="J175" s="23">
        <f>Inputs!J134</f>
        <v/>
      </c>
      <c r="K175" s="23">
        <f>Inputs!K134</f>
        <v/>
      </c>
    </row>
    <row r="176">
      <c r="B176" s="7" t="inlineStr">
        <is>
          <t xml:space="preserve">    Cumulative wage index vs FY2025</t>
        </is>
      </c>
      <c r="F176" s="29">
        <f>1</f>
        <v/>
      </c>
      <c r="G176" s="29">
        <f>F176*(1+G175)</f>
        <v/>
      </c>
      <c r="H176" s="29">
        <f>G176*(1+H175)</f>
        <v/>
      </c>
      <c r="I176" s="29">
        <f>H176*(1+I175)</f>
        <v/>
      </c>
      <c r="J176" s="29">
        <f>I176*(1+J175)</f>
        <v/>
      </c>
      <c r="K176" s="29">
        <f>J176*(1+K175)</f>
        <v/>
      </c>
    </row>
    <row r="177">
      <c r="B177" s="7" t="inlineStr">
        <is>
          <t xml:space="preserve">    Cash compensation per head</t>
        </is>
      </c>
      <c r="F177" s="16">
        <f>Inputs!$C$73</f>
        <v/>
      </c>
      <c r="G177" s="16">
        <f>$F$177*G176</f>
        <v/>
      </c>
      <c r="H177" s="16">
        <f>$F$177*H176</f>
        <v/>
      </c>
      <c r="I177" s="16">
        <f>$F$177*I176</f>
        <v/>
      </c>
      <c r="J177" s="16">
        <f>$F$177*J176</f>
        <v/>
      </c>
      <c r="K177" s="16">
        <f>$F$177*K176</f>
        <v/>
      </c>
    </row>
    <row r="178">
      <c r="B178" s="7" t="inlineStr">
        <is>
          <t>Cash compensation  (= headcount x cost per head)</t>
        </is>
      </c>
      <c r="F178" s="16">
        <f>F174*F177</f>
        <v/>
      </c>
      <c r="G178" s="16">
        <f>G174*G177</f>
        <v/>
      </c>
      <c r="H178" s="16">
        <f>H174*H177</f>
        <v/>
      </c>
      <c r="I178" s="16">
        <f>I174*I177</f>
        <v/>
      </c>
      <c r="J178" s="16">
        <f>J174*J177</f>
        <v/>
      </c>
      <c r="K178" s="16">
        <f>K174*K177</f>
        <v/>
      </c>
    </row>
    <row r="179">
      <c r="B179" s="7" t="inlineStr">
        <is>
          <t>Normalised share-based compensation</t>
        </is>
      </c>
      <c r="F179" s="16">
        <f>Inputs!$C$29</f>
        <v/>
      </c>
      <c r="G179" s="16">
        <f>Inputs!$C$29</f>
        <v/>
      </c>
      <c r="H179" s="16">
        <f>Inputs!$C$29</f>
        <v/>
      </c>
      <c r="I179" s="16">
        <f>Inputs!$C$29</f>
        <v/>
      </c>
      <c r="J179" s="16">
        <f>Inputs!$C$29</f>
        <v/>
      </c>
      <c r="K179" s="16">
        <f>Inputs!$C$29</f>
        <v/>
      </c>
    </row>
    <row r="180">
      <c r="B180" s="7" t="inlineStr">
        <is>
          <t xml:space="preserve">    Non-comp cost-of-sales elasticity to revenue growth</t>
        </is>
      </c>
      <c r="G180" s="30">
        <f>Inputs!G135</f>
        <v/>
      </c>
      <c r="H180" s="30">
        <f>Inputs!H135</f>
        <v/>
      </c>
      <c r="I180" s="30">
        <f>Inputs!I135</f>
        <v/>
      </c>
      <c r="J180" s="30">
        <f>Inputs!J135</f>
        <v/>
      </c>
      <c r="K180" s="30">
        <f>Inputs!K135</f>
        <v/>
      </c>
    </row>
    <row r="181">
      <c r="B181" s="7" t="inlineStr">
        <is>
          <t>Non-compensation cost of sales</t>
        </is>
      </c>
      <c r="F181" s="16">
        <f>Inputs!$C$74</f>
        <v/>
      </c>
      <c r="G181" s="16">
        <f>F181*(1+G180*(G170/F170-1))</f>
        <v/>
      </c>
      <c r="H181" s="16">
        <f>G181*(1+H180*(H170/G170-1))</f>
        <v/>
      </c>
      <c r="I181" s="16">
        <f>H181*(1+I180*(I170/H170-1))</f>
        <v/>
      </c>
      <c r="J181" s="16">
        <f>I181*(1+J180*(J170/I170-1))</f>
        <v/>
      </c>
      <c r="K181" s="16">
        <f>J181*(1+K180*(K170/J170-1))</f>
        <v/>
      </c>
    </row>
    <row r="182">
      <c r="B182" s="7" t="inlineStr">
        <is>
          <t xml:space="preserve">    Non-comp G&amp;A growth</t>
        </is>
      </c>
      <c r="G182" s="23">
        <f>Inputs!G138</f>
        <v/>
      </c>
      <c r="H182" s="23">
        <f>Inputs!H138</f>
        <v/>
      </c>
      <c r="I182" s="23">
        <f>Inputs!I138</f>
        <v/>
      </c>
      <c r="J182" s="23">
        <f>Inputs!J138</f>
        <v/>
      </c>
      <c r="K182" s="23">
        <f>Inputs!K138</f>
        <v/>
      </c>
    </row>
    <row r="183">
      <c r="B183" s="7" t="inlineStr">
        <is>
          <t>Non-compensation general and administration</t>
        </is>
      </c>
      <c r="F183" s="16">
        <f>Inputs!$C$76</f>
        <v/>
      </c>
      <c r="G183" s="16">
        <f>F183*(1+G182)</f>
        <v/>
      </c>
      <c r="H183" s="16">
        <f>G183*(1+H182)</f>
        <v/>
      </c>
      <c r="I183" s="16">
        <f>H183*(1+I182)</f>
        <v/>
      </c>
      <c r="J183" s="16">
        <f>I183*(1+J182)</f>
        <v/>
      </c>
      <c r="K183" s="16">
        <f>J183*(1+K182)</f>
        <v/>
      </c>
    </row>
    <row r="184">
      <c r="B184" s="7" t="inlineStr">
        <is>
          <t>Non-compensation selling expense</t>
        </is>
      </c>
      <c r="F184" s="16">
        <f>Inputs!$C$75</f>
        <v/>
      </c>
      <c r="G184" s="16">
        <f>Inputs!$G$136</f>
        <v/>
      </c>
      <c r="H184" s="16">
        <f>G184*(1+Inputs!$G$137)</f>
        <v/>
      </c>
      <c r="I184" s="16">
        <f>H184*(1+Inputs!$G$137)</f>
        <v/>
      </c>
      <c r="J184" s="16">
        <f>I184*(1+Inputs!$G$137)</f>
        <v/>
      </c>
      <c r="K184" s="16">
        <f>J184*(1+Inputs!$G$137)</f>
        <v/>
      </c>
    </row>
    <row r="185">
      <c r="B185" s="7" t="inlineStr">
        <is>
          <t xml:space="preserve">    Memo: implied growth in non-comp selling</t>
        </is>
      </c>
      <c r="G185" s="23">
        <f>G184/F184-1</f>
        <v/>
      </c>
      <c r="H185" s="23">
        <f>H184/G184-1</f>
        <v/>
      </c>
      <c r="I185" s="23">
        <f>I184/H184-1</f>
        <v/>
      </c>
      <c r="J185" s="23">
        <f>J184/I184-1</f>
        <v/>
      </c>
      <c r="K185" s="23">
        <f>K184/J184-1</f>
        <v/>
      </c>
      <c r="Q185" s="9" t="inlineStr">
        <is>
          <t>FY2026E shows the -34.3% reset from the $228,140 FY2025A actual; FY2027E-FY2030E show the scenario growth rate, confirming the two Inputs-sheet parameters drive all five years</t>
        </is>
      </c>
    </row>
    <row r="186">
      <c r="B186" s="7" t="inlineStr">
        <is>
          <t>Normalised bad debt expense</t>
        </is>
      </c>
      <c r="F186" s="16">
        <f>Inputs!$C$28</f>
        <v/>
      </c>
      <c r="G186" s="16">
        <f>Inputs!$C$28</f>
        <v/>
      </c>
      <c r="H186" s="16">
        <f>Inputs!$C$28</f>
        <v/>
      </c>
      <c r="I186" s="16">
        <f>Inputs!$C$28</f>
        <v/>
      </c>
      <c r="J186" s="16">
        <f>Inputs!$C$28</f>
        <v/>
      </c>
      <c r="K186" s="16">
        <f>Inputs!$C$28</f>
        <v/>
      </c>
    </row>
    <row r="187">
      <c r="B187" s="3" t="inlineStr">
        <is>
          <t>= Total operating cost</t>
        </is>
      </c>
      <c r="F187" s="25">
        <f>F178+F179+F181+F183+F184+F186</f>
        <v/>
      </c>
      <c r="G187" s="25">
        <f>G178+G179+G181+G183+G184+G186</f>
        <v/>
      </c>
      <c r="H187" s="25">
        <f>H178+H179+H181+H183+H184+H186</f>
        <v/>
      </c>
      <c r="I187" s="25">
        <f>I178+I179+I181+I183+I184+I186</f>
        <v/>
      </c>
      <c r="J187" s="25">
        <f>J178+J179+J181+J183+J184+J186</f>
        <v/>
      </c>
      <c r="K187" s="25">
        <f>K178+K179+K181+K183+K184+K186</f>
        <v/>
      </c>
    </row>
    <row r="188">
      <c r="B188" s="3" t="inlineStr">
        <is>
          <t>= OPERATING INCOME (normalised cost base)</t>
        </is>
      </c>
      <c r="F188" s="31">
        <f>F170-F187</f>
        <v/>
      </c>
      <c r="G188" s="31">
        <f>G170-G187</f>
        <v/>
      </c>
      <c r="H188" s="31">
        <f>H170-H187</f>
        <v/>
      </c>
      <c r="I188" s="31">
        <f>I170-I187</f>
        <v/>
      </c>
      <c r="J188" s="31">
        <f>J170-J187</f>
        <v/>
      </c>
      <c r="K188" s="31">
        <f>K170-K187</f>
        <v/>
      </c>
    </row>
    <row r="189">
      <c r="B189" s="7" t="inlineStr">
        <is>
          <t xml:space="preserve">    Operating margin</t>
        </is>
      </c>
      <c r="F189" s="23">
        <f>F188/F170</f>
        <v/>
      </c>
      <c r="G189" s="23">
        <f>G188/G170</f>
        <v/>
      </c>
      <c r="H189" s="23">
        <f>H188/H170</f>
        <v/>
      </c>
      <c r="I189" s="23">
        <f>I188/I170</f>
        <v/>
      </c>
      <c r="J189" s="23">
        <f>J188/J170</f>
        <v/>
      </c>
      <c r="K189" s="23">
        <f>K188/K170</f>
        <v/>
      </c>
    </row>
    <row r="190">
      <c r="B190" s="3" t="inlineStr">
        <is>
          <t>= OWNERS' EARNINGS (see bridge above; repeated here)</t>
        </is>
      </c>
      <c r="F190" s="31">
        <f>(F188+Inputs!$F$39-Inputs!$F$40)*(1-Inputs!$C$27)-Inputs!$C$27*Inputs!$C$29-(Inputs!$F$41-Inputs!$F$38*Inputs!$C$27)</f>
        <v/>
      </c>
      <c r="G190" s="31">
        <f>(G188+Inputs!$F$39-Inputs!$F$40)*(1-Inputs!$C$27)-Inputs!$C$27*Inputs!$C$29-Inputs!$C$30</f>
        <v/>
      </c>
      <c r="H190" s="31">
        <f>(H188+Inputs!$F$39-Inputs!$F$40)*(1-Inputs!$C$27)-Inputs!$C$27*Inputs!$C$29-Inputs!$C$30</f>
        <v/>
      </c>
      <c r="I190" s="31">
        <f>(I188+Inputs!$F$39-Inputs!$F$40)*(1-Inputs!$C$27)-Inputs!$C$27*Inputs!$C$29-Inputs!$C$30</f>
        <v/>
      </c>
      <c r="J190" s="31">
        <f>(J188+Inputs!$F$39-Inputs!$F$40)*(1-Inputs!$C$27)-Inputs!$C$27*Inputs!$C$29-Inputs!$C$30</f>
        <v/>
      </c>
      <c r="K190" s="31">
        <f>(K188+Inputs!$F$39-Inputs!$F$40)*(1-Inputs!$C$27)-Inputs!$C$27*Inputs!$C$29-Inputs!$C$30</f>
        <v/>
      </c>
      <c r="Q190" s="9" t="inlineStr">
        <is>
          <t>Algebraically identical to the bridge above: (pre-tax OE) - [tax x (pre-tax OE + normalised SBC)] - permanent differences</t>
        </is>
      </c>
    </row>
    <row r="191">
      <c r="B191" s="7" t="inlineStr">
        <is>
          <t xml:space="preserve">    Owners' earnings margin</t>
        </is>
      </c>
      <c r="F191" s="23">
        <f>F190/F170</f>
        <v/>
      </c>
      <c r="G191" s="23">
        <f>G190/G170</f>
        <v/>
      </c>
      <c r="H191" s="23">
        <f>H190/H170</f>
        <v/>
      </c>
      <c r="I191" s="23">
        <f>I190/I170</f>
        <v/>
      </c>
      <c r="J191" s="23">
        <f>J190/J170</f>
        <v/>
      </c>
      <c r="K191" s="23">
        <f>K190/K170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3" customWidth="1" min="12" max="12"/>
    <col width="13" customWidth="1" min="13" max="13"/>
    <col width="13" customWidth="1" min="14" max="14"/>
    <col width="13" customWidth="1" min="15" max="15"/>
    <col width="95" customWidth="1" min="17" max="17"/>
  </cols>
  <sheetData>
    <row r="1">
      <c r="B1" s="1" t="inlineStr">
        <is>
          <t>NamSys Inc. -- TERMINAL VALUE AND SUM-OF-THE-PARTS VALUATION</t>
        </is>
      </c>
    </row>
    <row r="2">
      <c r="B2" s="2" t="inlineStr">
        <is>
          <t>Value per diluted share = PV of FY2026E-FY2030E owners' earnings + PV of the terminal value at October 31 2030 + standalone financial assets - debt-like items, divided by current diluted shares. Deliberately stock-price-blind: no quote or market capitalisation is used anywhere.</t>
        </is>
      </c>
    </row>
    <row r="3"/>
    <row r="4">
      <c r="B4" s="5" t="inlineStr">
        <is>
          <t>A. TERMINAL VALUE AT OCTOBER 31, 2030  (TV s6) -- NOT yet discounted</t>
        </is>
      </c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</row>
    <row r="5">
      <c r="B5" s="3" t="inlineStr">
        <is>
          <t>Scenario</t>
        </is>
      </c>
      <c r="C5" s="32" t="inlineStr">
        <is>
          <t>FY2030E owners' earnings</t>
        </is>
      </c>
      <c r="D5" s="32" t="inlineStr">
        <is>
          <t>Terminal multiple</t>
        </is>
      </c>
      <c r="E5" s="32" t="inlineStr">
        <is>
          <t>Terminal value at 31-Oct-2030</t>
        </is>
      </c>
    </row>
    <row r="6">
      <c r="B6" s="7" t="inlineStr">
        <is>
          <t>Bull</t>
        </is>
      </c>
      <c r="C6" s="16">
        <f>'Owners Earnings'!K112</f>
        <v/>
      </c>
      <c r="D6" s="14">
        <f>Inputs!$C$24</f>
        <v/>
      </c>
      <c r="E6" s="31">
        <f>C6*D6</f>
        <v/>
      </c>
    </row>
    <row r="7">
      <c r="B7" s="3" t="inlineStr">
        <is>
          <t>Base</t>
        </is>
      </c>
      <c r="C7" s="16">
        <f>'Owners Earnings'!K73</f>
        <v/>
      </c>
      <c r="D7" s="14">
        <f>Inputs!$C$21</f>
        <v/>
      </c>
      <c r="E7" s="31">
        <f>C7*D7</f>
        <v/>
      </c>
      <c r="Q7" s="9" t="inlineStr">
        <is>
          <t>TV s6: 12x is the base multiple; the scenario-consistent 'diagonal' pairs 15x with bull and 8x with both bear variants, because the multiple and the earnings path are not independent (TV s1)</t>
        </is>
      </c>
    </row>
    <row r="8">
      <c r="B8" s="7" t="inlineStr">
        <is>
          <t>Bear - management right-sizes</t>
        </is>
      </c>
      <c r="C8" s="16">
        <f>'Owners Earnings'!K190</f>
        <v/>
      </c>
      <c r="D8" s="14">
        <f>Inputs!$C$23</f>
        <v/>
      </c>
      <c r="E8" s="31">
        <f>C8*D8</f>
        <v/>
      </c>
    </row>
    <row r="9">
      <c r="B9" s="7" t="inlineStr">
        <is>
          <t>Bear - no cost response</t>
        </is>
      </c>
      <c r="C9" s="16">
        <f>'Owners Earnings'!K151</f>
        <v/>
      </c>
      <c r="D9" s="14">
        <f>Inputs!$C$23</f>
        <v/>
      </c>
      <c r="E9" s="31">
        <f>C9*D9</f>
        <v/>
      </c>
    </row>
    <row r="10"/>
    <row r="11">
      <c r="B11" s="3" t="inlineStr">
        <is>
          <t>Base-case terminal value across the defensible multiple range (TV s5):</t>
        </is>
      </c>
    </row>
    <row r="12">
      <c r="B12" s="7" t="inlineStr">
        <is>
          <t xml:space="preserve">    Low end of range</t>
        </is>
      </c>
      <c r="C12" s="16">
        <f>C7</f>
        <v/>
      </c>
      <c r="D12" s="14">
        <f>Inputs!$C$20</f>
        <v/>
      </c>
      <c r="E12" s="16">
        <f>C12*D12</f>
        <v/>
      </c>
    </row>
    <row r="13">
      <c r="B13" s="7" t="inlineStr">
        <is>
          <t xml:space="preserve">    Base</t>
        </is>
      </c>
      <c r="C13" s="16">
        <f>C7</f>
        <v/>
      </c>
      <c r="D13" s="14">
        <f>Inputs!$C$21</f>
        <v/>
      </c>
      <c r="E13" s="16">
        <f>C13*D13</f>
        <v/>
      </c>
    </row>
    <row r="14">
      <c r="B14" s="7" t="inlineStr">
        <is>
          <t xml:space="preserve">    High end of range</t>
        </is>
      </c>
      <c r="C14" s="16">
        <f>C7</f>
        <v/>
      </c>
      <c r="D14" s="14">
        <f>Inputs!$C$22</f>
        <v/>
      </c>
      <c r="E14" s="16">
        <f>C14*D14</f>
        <v/>
      </c>
    </row>
    <row r="15"/>
    <row r="16">
      <c r="B16" s="5" t="inlineStr">
        <is>
          <t>B. DISCOUNTING CONVENTION  (VAL s2)</t>
        </is>
      </c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</row>
    <row r="17">
      <c r="B17" s="2" t="inlineStr">
        <is>
          <t>The current fiscal year (FY2026, in progress) is t=0 and is NOT discounted. The terminal value is a value AS OF the end of FY2030E, the same time point as the FY2030E cash flow, so it carries the SAME t=4 factor.</t>
        </is>
      </c>
    </row>
    <row r="18">
      <c r="G18" s="21" t="inlineStr">
        <is>
          <t>FY2026E</t>
        </is>
      </c>
      <c r="H18" s="21" t="inlineStr">
        <is>
          <t>FY2027E</t>
        </is>
      </c>
      <c r="I18" s="21" t="inlineStr">
        <is>
          <t>FY2028E</t>
        </is>
      </c>
      <c r="J18" s="21" t="inlineStr">
        <is>
          <t>FY2029E</t>
        </is>
      </c>
      <c r="K18" s="21" t="inlineStr">
        <is>
          <t>FY2030E</t>
        </is>
      </c>
    </row>
    <row r="19">
      <c r="B19" s="7" t="inlineStr">
        <is>
          <t>Discount period t (years from today)</t>
        </is>
      </c>
      <c r="G19" s="11" t="n">
        <v>0</v>
      </c>
      <c r="H19" s="11" t="n">
        <v>1</v>
      </c>
      <c r="I19" s="11" t="n">
        <v>2</v>
      </c>
      <c r="J19" s="11" t="n">
        <v>3</v>
      </c>
      <c r="K19" s="11" t="n">
        <v>4</v>
      </c>
      <c r="Q19" s="9" t="inlineStr">
        <is>
          <t>VAL s2 convention -- editable</t>
        </is>
      </c>
    </row>
    <row r="20">
      <c r="B20" s="3" t="inlineStr">
        <is>
          <t>Discount factor = 1 / (1 + r)^t</t>
        </is>
      </c>
      <c r="G20" s="33">
        <f>1/(1+Inputs!$C$7)^G19</f>
        <v/>
      </c>
      <c r="H20" s="33">
        <f>1/(1+Inputs!$C$7)^H19</f>
        <v/>
      </c>
      <c r="I20" s="33">
        <f>1/(1+Inputs!$C$7)^I19</f>
        <v/>
      </c>
      <c r="J20" s="33">
        <f>1/(1+Inputs!$C$7)^J19</f>
        <v/>
      </c>
      <c r="K20" s="33">
        <f>1/(1+Inputs!$C$7)^K19</f>
        <v/>
      </c>
    </row>
    <row r="21">
      <c r="B21" s="7" t="inlineStr">
        <is>
          <t>Terminal-value discount factor (t = 4, same as FY2030E)</t>
        </is>
      </c>
      <c r="C21" s="27">
        <f>K20</f>
        <v/>
      </c>
    </row>
    <row r="22"/>
    <row r="23">
      <c r="B23" s="5" t="inlineStr">
        <is>
          <t>C. PRESENT VALUE OF FY2026E-FY2030E OWNERS' EARNINGS, BY SCENARIO</t>
        </is>
      </c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</row>
    <row r="24">
      <c r="B24" s="2" t="inlineStr">
        <is>
          <t>The April 30, 2026 balance already contains the operating cash NamSys generated in H1 FY2026. That amount is netted out of the undiscounted t=0 flow so it is counted exactly once (VAL s3.1). It is a realised historical figure, so it is identical in every scenario.</t>
        </is>
      </c>
    </row>
    <row r="25">
      <c r="B25" s="3" t="inlineStr">
        <is>
          <t>Bull:</t>
        </is>
      </c>
      <c r="E25" s="34" t="inlineStr">
        <is>
          <t>PV, sum</t>
        </is>
      </c>
    </row>
    <row r="26">
      <c r="B26" s="7" t="inlineStr">
        <is>
          <t xml:space="preserve">    Owners' earnings as forecast</t>
        </is>
      </c>
      <c r="G26" s="16">
        <f>'Owners Earnings'!G112</f>
        <v/>
      </c>
      <c r="H26" s="16">
        <f>'Owners Earnings'!H112</f>
        <v/>
      </c>
      <c r="I26" s="16">
        <f>'Owners Earnings'!I112</f>
        <v/>
      </c>
      <c r="J26" s="16">
        <f>'Owners Earnings'!J112</f>
        <v/>
      </c>
      <c r="K26" s="16">
        <f>'Owners Earnings'!K112</f>
        <v/>
      </c>
    </row>
    <row r="27">
      <c r="B27" s="7" t="inlineStr">
        <is>
          <t xml:space="preserve">    less H1 FY2026 operating cash already inside the Apr-30-26 balance</t>
        </is>
      </c>
      <c r="G27" s="16">
        <f>-Inputs!$N$45</f>
        <v/>
      </c>
      <c r="Q27" s="9" t="inlineStr">
        <is>
          <t>FSQ2 statements of cash flows, six months ended Apr 30 2026 = 1,497,265 (VAL s3.1)</t>
        </is>
      </c>
    </row>
    <row r="28">
      <c r="B28" s="3" t="inlineStr">
        <is>
          <t xml:space="preserve">    = Flow discounted at t</t>
        </is>
      </c>
      <c r="G28" s="25">
        <f>G26+IF(G19=0,G27,0)</f>
        <v/>
      </c>
      <c r="H28" s="25">
        <f>H26</f>
        <v/>
      </c>
      <c r="I28" s="25">
        <f>I26</f>
        <v/>
      </c>
      <c r="J28" s="25">
        <f>J26</f>
        <v/>
      </c>
      <c r="K28" s="25">
        <f>K26</f>
        <v/>
      </c>
    </row>
    <row r="29">
      <c r="B29" s="7" t="inlineStr">
        <is>
          <t xml:space="preserve">    PV of flow</t>
        </is>
      </c>
      <c r="E29" s="31">
        <f>SUM(G29:K29)</f>
        <v/>
      </c>
      <c r="G29" s="16">
        <f>G28*G20</f>
        <v/>
      </c>
      <c r="H29" s="16">
        <f>H28*H20</f>
        <v/>
      </c>
      <c r="I29" s="16">
        <f>I28*I20</f>
        <v/>
      </c>
      <c r="J29" s="16">
        <f>J28*J20</f>
        <v/>
      </c>
      <c r="K29" s="16">
        <f>K28*K20</f>
        <v/>
      </c>
    </row>
    <row r="30"/>
    <row r="31">
      <c r="B31" s="3" t="inlineStr">
        <is>
          <t>Base:</t>
        </is>
      </c>
      <c r="E31" s="34" t="inlineStr">
        <is>
          <t>PV, sum</t>
        </is>
      </c>
    </row>
    <row r="32">
      <c r="B32" s="7" t="inlineStr">
        <is>
          <t xml:space="preserve">    Owners' earnings as forecast</t>
        </is>
      </c>
      <c r="G32" s="16">
        <f>'Owners Earnings'!G73</f>
        <v/>
      </c>
      <c r="H32" s="16">
        <f>'Owners Earnings'!H73</f>
        <v/>
      </c>
      <c r="I32" s="16">
        <f>'Owners Earnings'!I73</f>
        <v/>
      </c>
      <c r="J32" s="16">
        <f>'Owners Earnings'!J73</f>
        <v/>
      </c>
      <c r="K32" s="16">
        <f>'Owners Earnings'!K73</f>
        <v/>
      </c>
    </row>
    <row r="33">
      <c r="B33" s="7" t="inlineStr">
        <is>
          <t xml:space="preserve">    less H1 FY2026 operating cash already inside the Apr-30-26 balance</t>
        </is>
      </c>
      <c r="G33" s="16">
        <f>-Inputs!$N$45</f>
        <v/>
      </c>
      <c r="Q33" s="9" t="inlineStr">
        <is>
          <t>FSQ2 statements of cash flows, six months ended Apr 30 2026 = 1,497,265 (VAL s3.1)</t>
        </is>
      </c>
    </row>
    <row r="34">
      <c r="B34" s="3" t="inlineStr">
        <is>
          <t xml:space="preserve">    = Flow discounted at t</t>
        </is>
      </c>
      <c r="G34" s="25">
        <f>G32+IF(G19=0,G33,0)</f>
        <v/>
      </c>
      <c r="H34" s="25">
        <f>H32</f>
        <v/>
      </c>
      <c r="I34" s="25">
        <f>I32</f>
        <v/>
      </c>
      <c r="J34" s="25">
        <f>J32</f>
        <v/>
      </c>
      <c r="K34" s="25">
        <f>K32</f>
        <v/>
      </c>
    </row>
    <row r="35">
      <c r="B35" s="7" t="inlineStr">
        <is>
          <t xml:space="preserve">    PV of flow</t>
        </is>
      </c>
      <c r="E35" s="31">
        <f>SUM(G35:K35)</f>
        <v/>
      </c>
      <c r="G35" s="16">
        <f>G34*G20</f>
        <v/>
      </c>
      <c r="H35" s="16">
        <f>H34*H20</f>
        <v/>
      </c>
      <c r="I35" s="16">
        <f>I34*I20</f>
        <v/>
      </c>
      <c r="J35" s="16">
        <f>J34*J20</f>
        <v/>
      </c>
      <c r="K35" s="16">
        <f>K34*K20</f>
        <v/>
      </c>
    </row>
    <row r="36"/>
    <row r="37">
      <c r="B37" s="3" t="inlineStr">
        <is>
          <t>Bear - management right-sizes:</t>
        </is>
      </c>
      <c r="E37" s="34" t="inlineStr">
        <is>
          <t>PV, sum</t>
        </is>
      </c>
    </row>
    <row r="38">
      <c r="B38" s="7" t="inlineStr">
        <is>
          <t xml:space="preserve">    Owners' earnings as forecast</t>
        </is>
      </c>
      <c r="G38" s="16">
        <f>'Owners Earnings'!G190</f>
        <v/>
      </c>
      <c r="H38" s="16">
        <f>'Owners Earnings'!H190</f>
        <v/>
      </c>
      <c r="I38" s="16">
        <f>'Owners Earnings'!I190</f>
        <v/>
      </c>
      <c r="J38" s="16">
        <f>'Owners Earnings'!J190</f>
        <v/>
      </c>
      <c r="K38" s="16">
        <f>'Owners Earnings'!K190</f>
        <v/>
      </c>
    </row>
    <row r="39">
      <c r="B39" s="7" t="inlineStr">
        <is>
          <t xml:space="preserve">    less H1 FY2026 operating cash already inside the Apr-30-26 balance</t>
        </is>
      </c>
      <c r="G39" s="16">
        <f>-Inputs!$N$45</f>
        <v/>
      </c>
      <c r="Q39" s="9" t="inlineStr">
        <is>
          <t>FSQ2 statements of cash flows, six months ended Apr 30 2026 = 1,497,265 (VAL s3.1)</t>
        </is>
      </c>
    </row>
    <row r="40">
      <c r="B40" s="3" t="inlineStr">
        <is>
          <t xml:space="preserve">    = Flow discounted at t</t>
        </is>
      </c>
      <c r="G40" s="25">
        <f>G38+IF(G19=0,G39,0)</f>
        <v/>
      </c>
      <c r="H40" s="25">
        <f>H38</f>
        <v/>
      </c>
      <c r="I40" s="25">
        <f>I38</f>
        <v/>
      </c>
      <c r="J40" s="25">
        <f>J38</f>
        <v/>
      </c>
      <c r="K40" s="25">
        <f>K38</f>
        <v/>
      </c>
    </row>
    <row r="41">
      <c r="B41" s="7" t="inlineStr">
        <is>
          <t xml:space="preserve">    PV of flow</t>
        </is>
      </c>
      <c r="E41" s="31">
        <f>SUM(G41:K41)</f>
        <v/>
      </c>
      <c r="G41" s="16">
        <f>G40*G20</f>
        <v/>
      </c>
      <c r="H41" s="16">
        <f>H40*H20</f>
        <v/>
      </c>
      <c r="I41" s="16">
        <f>I40*I20</f>
        <v/>
      </c>
      <c r="J41" s="16">
        <f>J40*J20</f>
        <v/>
      </c>
      <c r="K41" s="16">
        <f>K40*K20</f>
        <v/>
      </c>
    </row>
    <row r="42"/>
    <row r="43">
      <c r="B43" s="3" t="inlineStr">
        <is>
          <t>Bear - no cost response:</t>
        </is>
      </c>
      <c r="E43" s="34" t="inlineStr">
        <is>
          <t>PV, sum</t>
        </is>
      </c>
    </row>
    <row r="44">
      <c r="B44" s="7" t="inlineStr">
        <is>
          <t xml:space="preserve">    Owners' earnings as forecast</t>
        </is>
      </c>
      <c r="G44" s="16">
        <f>'Owners Earnings'!G151</f>
        <v/>
      </c>
      <c r="H44" s="16">
        <f>'Owners Earnings'!H151</f>
        <v/>
      </c>
      <c r="I44" s="16">
        <f>'Owners Earnings'!I151</f>
        <v/>
      </c>
      <c r="J44" s="16">
        <f>'Owners Earnings'!J151</f>
        <v/>
      </c>
      <c r="K44" s="16">
        <f>'Owners Earnings'!K151</f>
        <v/>
      </c>
    </row>
    <row r="45">
      <c r="B45" s="7" t="inlineStr">
        <is>
          <t xml:space="preserve">    less H1 FY2026 operating cash already inside the Apr-30-26 balance</t>
        </is>
      </c>
      <c r="G45" s="16">
        <f>-Inputs!$N$45</f>
        <v/>
      </c>
      <c r="Q45" s="9" t="inlineStr">
        <is>
          <t>FSQ2 statements of cash flows, six months ended Apr 30 2026 = 1,497,265 (VAL s3.1)</t>
        </is>
      </c>
    </row>
    <row r="46">
      <c r="B46" s="3" t="inlineStr">
        <is>
          <t xml:space="preserve">    = Flow discounted at t</t>
        </is>
      </c>
      <c r="G46" s="25">
        <f>G44+IF(G19=0,G45,0)</f>
        <v/>
      </c>
      <c r="H46" s="25">
        <f>H44</f>
        <v/>
      </c>
      <c r="I46" s="25">
        <f>I44</f>
        <v/>
      </c>
      <c r="J46" s="25">
        <f>J44</f>
        <v/>
      </c>
      <c r="K46" s="25">
        <f>K44</f>
        <v/>
      </c>
    </row>
    <row r="47">
      <c r="B47" s="7" t="inlineStr">
        <is>
          <t xml:space="preserve">    PV of flow</t>
        </is>
      </c>
      <c r="E47" s="31">
        <f>SUM(G47:K47)</f>
        <v/>
      </c>
      <c r="G47" s="16">
        <f>G46*G20</f>
        <v/>
      </c>
      <c r="H47" s="16">
        <f>H46*H20</f>
        <v/>
      </c>
      <c r="I47" s="16">
        <f>I46*I20</f>
        <v/>
      </c>
      <c r="J47" s="16">
        <f>J46*J20</f>
        <v/>
      </c>
      <c r="K47" s="16">
        <f>K46*K20</f>
        <v/>
      </c>
    </row>
    <row r="48"/>
    <row r="49">
      <c r="B49" s="5" t="inlineStr">
        <is>
          <t>D. SUM OF THE PARTS -- BASE CASE  (VAL s4)</t>
        </is>
      </c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</row>
    <row r="50">
      <c r="B50" s="7" t="inlineStr">
        <is>
          <t>PV of FY2026E-FY2030E owners' earnings</t>
        </is>
      </c>
      <c r="C50" s="16">
        <f>E35</f>
        <v/>
      </c>
    </row>
    <row r="51">
      <c r="B51" s="7" t="inlineStr">
        <is>
          <t>+ PV of terminal value (base multiple x FY2030E OE, discounted at t=4)</t>
        </is>
      </c>
      <c r="C51" s="16">
        <f>E7*C21</f>
        <v/>
      </c>
    </row>
    <row r="52">
      <c r="B52" s="3" t="inlineStr">
        <is>
          <t>= PV of the operating business</t>
        </is>
      </c>
      <c r="C52" s="26">
        <f>SUM(C50:C51)</f>
        <v/>
      </c>
    </row>
    <row r="53">
      <c r="B53" s="7" t="inlineStr">
        <is>
          <t>+ Standalone assets: cash + short-term investments at Apr 30, 2026</t>
        </is>
      </c>
      <c r="C53" s="16">
        <f>Inputs!$C$15</f>
        <v/>
      </c>
      <c r="Q53" s="9" t="inlineStr">
        <is>
          <t>OE s4: genuinely surplus to operations, earns 2.00-2.45%, and owners' earnings deliberately exclude the interest it generates -- so it is added at face value, not capitalised at a multiple</t>
        </is>
      </c>
    </row>
    <row r="54">
      <c r="B54" s="7" t="inlineStr">
        <is>
          <t>- Debt and debt-like deductions</t>
        </is>
      </c>
      <c r="C54" s="16">
        <f>-Inputs!$C$16</f>
        <v/>
      </c>
      <c r="Q54" s="9" t="inlineStr">
        <is>
          <t>OE s2: no debt of any kind. The $1.1M contingent employee termination commitment is excluded unless the Inputs switch is set to 1</t>
        </is>
      </c>
    </row>
    <row r="55">
      <c r="B55" s="3" t="inlineStr">
        <is>
          <t>= EQUITY VALUE</t>
        </is>
      </c>
      <c r="C55" s="26">
        <f>C52+C53+C54</f>
        <v/>
      </c>
    </row>
    <row r="56">
      <c r="B56" s="7" t="inlineStr">
        <is>
          <t>/ Diluted shares outstanding</t>
        </is>
      </c>
      <c r="C56" s="16">
        <f>Inputs!$C$8</f>
        <v/>
      </c>
    </row>
    <row r="57">
      <c r="B57" s="3" t="inlineStr">
        <is>
          <t>= VALUE PER DILUTED SHARE</t>
        </is>
      </c>
      <c r="C57" s="35">
        <f>C55/C56</f>
        <v/>
      </c>
    </row>
    <row r="58"/>
    <row r="59">
      <c r="B59" s="5" t="inlineStr">
        <is>
          <t>E. SCENARIO SUMMARY</t>
        </is>
      </c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</row>
    <row r="60">
      <c r="B60" s="3" t="inlineStr">
        <is>
          <t>Scenario  (each with its own scenario-consistent terminal multiple)</t>
        </is>
      </c>
      <c r="C60" s="32" t="inlineStr">
        <is>
          <t>PV of 5 years of OE</t>
        </is>
      </c>
      <c r="D60" s="32" t="inlineStr">
        <is>
          <t>PV of terminal value</t>
        </is>
      </c>
      <c r="E60" s="32" t="inlineStr">
        <is>
          <t>+ standalone assets</t>
        </is>
      </c>
      <c r="F60" s="32" t="inlineStr">
        <is>
          <t>- debt-like</t>
        </is>
      </c>
      <c r="G60" s="32" t="inlineStr">
        <is>
          <t>= equity value</t>
        </is>
      </c>
      <c r="H60" s="32" t="inlineStr">
        <is>
          <t>per diluted share</t>
        </is>
      </c>
    </row>
    <row r="61">
      <c r="B61" s="7" t="inlineStr">
        <is>
          <t>Bull</t>
        </is>
      </c>
      <c r="C61" s="16">
        <f>E29</f>
        <v/>
      </c>
      <c r="D61" s="16">
        <f>E6*C21</f>
        <v/>
      </c>
      <c r="E61" s="16">
        <f>Inputs!$C$15</f>
        <v/>
      </c>
      <c r="F61" s="16">
        <f>-Inputs!$C$16</f>
        <v/>
      </c>
      <c r="G61" s="12">
        <f>SUM(C61:F61)</f>
        <v/>
      </c>
      <c r="H61" s="36">
        <f>G61/Inputs!$C$8</f>
        <v/>
      </c>
    </row>
    <row r="62">
      <c r="B62" s="3" t="inlineStr">
        <is>
          <t>Base</t>
        </is>
      </c>
      <c r="C62" s="16">
        <f>E35</f>
        <v/>
      </c>
      <c r="D62" s="16">
        <f>E7*C21</f>
        <v/>
      </c>
      <c r="E62" s="16">
        <f>Inputs!$C$15</f>
        <v/>
      </c>
      <c r="F62" s="16">
        <f>-Inputs!$C$16</f>
        <v/>
      </c>
      <c r="G62" s="12">
        <f>SUM(C62:F62)</f>
        <v/>
      </c>
      <c r="H62" s="36">
        <f>G62/Inputs!$C$8</f>
        <v/>
      </c>
    </row>
    <row r="63">
      <c r="B63" s="7" t="inlineStr">
        <is>
          <t>Bear - management right-sizes</t>
        </is>
      </c>
      <c r="C63" s="16">
        <f>E41</f>
        <v/>
      </c>
      <c r="D63" s="16">
        <f>E8*C21</f>
        <v/>
      </c>
      <c r="E63" s="16">
        <f>Inputs!$C$15</f>
        <v/>
      </c>
      <c r="F63" s="16">
        <f>-Inputs!$C$16</f>
        <v/>
      </c>
      <c r="G63" s="12">
        <f>SUM(C63:F63)</f>
        <v/>
      </c>
      <c r="H63" s="36">
        <f>G63/Inputs!$C$8</f>
        <v/>
      </c>
    </row>
    <row r="64">
      <c r="B64" s="7" t="inlineStr">
        <is>
          <t>Bear - no cost response</t>
        </is>
      </c>
      <c r="C64" s="16">
        <f>E47</f>
        <v/>
      </c>
      <c r="D64" s="16">
        <f>E9*C21</f>
        <v/>
      </c>
      <c r="E64" s="16">
        <f>Inputs!$C$15</f>
        <v/>
      </c>
      <c r="F64" s="16">
        <f>-Inputs!$C$16</f>
        <v/>
      </c>
      <c r="G64" s="12">
        <f>SUM(C64:F64)</f>
        <v/>
      </c>
      <c r="H64" s="36">
        <f>G64/Inputs!$C$8</f>
        <v/>
      </c>
    </row>
    <row r="65"/>
    <row r="66">
      <c r="B66" s="5" t="inlineStr">
        <is>
          <t>F. COMPOSITION OF THE BASE-CASE VALUE PER SHARE</t>
        </is>
      </c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</row>
    <row r="67">
      <c r="C67" s="3" t="inlineStr">
        <is>
          <t>$ per share</t>
        </is>
      </c>
      <c r="D67" s="3" t="inlineStr">
        <is>
          <t>% of total</t>
        </is>
      </c>
    </row>
    <row r="68">
      <c r="B68" s="7" t="inlineStr">
        <is>
          <t xml:space="preserve">    PV of FY2026E-FY2030E owners' earnings</t>
        </is>
      </c>
      <c r="C68" s="37">
        <f>(C50)/Inputs!$C$8</f>
        <v/>
      </c>
      <c r="D68" s="23">
        <f>C68/$C$71</f>
        <v/>
      </c>
    </row>
    <row r="69">
      <c r="B69" s="7" t="inlineStr">
        <is>
          <t xml:space="preserve">    PV of terminal value</t>
        </is>
      </c>
      <c r="C69" s="37">
        <f>(C51)/Inputs!$C$8</f>
        <v/>
      </c>
      <c r="D69" s="23">
        <f>C69/$C$71</f>
        <v/>
      </c>
      <c r="Q69" s="9" t="inlineStr">
        <is>
          <t>Roughly 60% of the answer is the terminal-multiple judgement call, not the five explicit forecast years (VAL s4)</t>
        </is>
      </c>
    </row>
    <row r="70">
      <c r="B70" s="7" t="inlineStr">
        <is>
          <t xml:space="preserve">    Standalone cash and short-term investments</t>
        </is>
      </c>
      <c r="C70" s="37">
        <f>(C53+C54)/Inputs!$C$8</f>
        <v/>
      </c>
      <c r="D70" s="23">
        <f>C70/$C$71</f>
        <v/>
      </c>
    </row>
    <row r="71">
      <c r="B71" s="3" t="inlineStr">
        <is>
          <t>= Total value per diluted share</t>
        </is>
      </c>
      <c r="C71" s="35">
        <f>SUM(C68:C70)</f>
        <v/>
      </c>
    </row>
    <row r="72"/>
    <row r="73">
      <c r="B73" s="5" t="inlineStr">
        <is>
          <t>G. BASE-CASE SENSITIVITY: VALUE PER DILUTED SHARE BY DISCOUNT RATE AND TERMINAL MULTIPLE</t>
        </is>
      </c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</row>
    <row r="74">
      <c r="B74" s="2" t="inlineStr">
        <is>
          <t>Recomputed live from the base-case flow row in section C; the discount rate and multiple below OVERRIDE the Inputs values for this grid only.</t>
        </is>
      </c>
    </row>
    <row r="75">
      <c r="B75" s="3" t="inlineStr">
        <is>
          <t>r  \  terminal multiple</t>
        </is>
      </c>
      <c r="C75" s="38">
        <f>Inputs!$C$20</f>
        <v/>
      </c>
      <c r="D75" s="38">
        <f>Inputs!$C$21</f>
        <v/>
      </c>
      <c r="E75" s="38">
        <f>Inputs!$C$22</f>
        <v/>
      </c>
    </row>
    <row r="76">
      <c r="B76" s="8" t="n">
        <v>0.08</v>
      </c>
      <c r="C76" s="37">
        <f>(SUMPRODUCT($G$34:$K$34,1/(1+$B76)^$G$19:$K$19)+C$75*$C$7/(1+$B76)^$K$19+Inputs!$C$15-Inputs!$C$16)/Inputs!$C$8</f>
        <v/>
      </c>
      <c r="D76" s="37">
        <f>(SUMPRODUCT($G$34:$K$34,1/(1+$B76)^$G$19:$K$19)+D$75*$C$7/(1+$B76)^$K$19+Inputs!$C$15-Inputs!$C$16)/Inputs!$C$8</f>
        <v/>
      </c>
      <c r="E76" s="37">
        <f>(SUMPRODUCT($G$34:$K$34,1/(1+$B76)^$G$19:$K$19)+E$75*$C$7/(1+$B76)^$K$19+Inputs!$C$15-Inputs!$C$16)/Inputs!$C$8</f>
        <v/>
      </c>
    </row>
    <row r="77">
      <c r="B77" s="8" t="n">
        <v>0.09</v>
      </c>
      <c r="C77" s="37">
        <f>(SUMPRODUCT($G$34:$K$34,1/(1+$B77)^$G$19:$K$19)+C$75*$C$7/(1+$B77)^$K$19+Inputs!$C$15-Inputs!$C$16)/Inputs!$C$8</f>
        <v/>
      </c>
      <c r="D77" s="37">
        <f>(SUMPRODUCT($G$34:$K$34,1/(1+$B77)^$G$19:$K$19)+D$75*$C$7/(1+$B77)^$K$19+Inputs!$C$15-Inputs!$C$16)/Inputs!$C$8</f>
        <v/>
      </c>
      <c r="E77" s="37">
        <f>(SUMPRODUCT($G$34:$K$34,1/(1+$B77)^$G$19:$K$19)+E$75*$C$7/(1+$B77)^$K$19+Inputs!$C$15-Inputs!$C$16)/Inputs!$C$8</f>
        <v/>
      </c>
    </row>
    <row r="78">
      <c r="B78" s="8" t="n">
        <v>0.1</v>
      </c>
      <c r="C78" s="37">
        <f>(SUMPRODUCT($G$34:$K$34,1/(1+$B78)^$G$19:$K$19)+C$75*$C$7/(1+$B78)^$K$19+Inputs!$C$15-Inputs!$C$16)/Inputs!$C$8</f>
        <v/>
      </c>
      <c r="D78" s="36">
        <f>(SUMPRODUCT($G$34:$K$34,1/(1+$B78)^$G$19:$K$19)+D$75*$C$7/(1+$B78)^$K$19+Inputs!$C$15-Inputs!$C$16)/Inputs!$C$8</f>
        <v/>
      </c>
      <c r="E78" s="37">
        <f>(SUMPRODUCT($G$34:$K$34,1/(1+$B78)^$G$19:$K$19)+E$75*$C$7/(1+$B78)^$K$19+Inputs!$C$15-Inputs!$C$16)/Inputs!$C$8</f>
        <v/>
      </c>
      <c r="Q78" s="9" t="inlineStr">
        <is>
          <t>VAL s6: across the full defensible band the base case spans roughly $1.18-$1.76. Value is far more sensitive to the terminal multiple than to the discount rate</t>
        </is>
      </c>
    </row>
    <row r="79">
      <c r="B79" s="8" t="n">
        <v>0.11</v>
      </c>
      <c r="C79" s="37">
        <f>(SUMPRODUCT($G$34:$K$34,1/(1+$B79)^$G$19:$K$19)+C$75*$C$7/(1+$B79)^$K$19+Inputs!$C$15-Inputs!$C$16)/Inputs!$C$8</f>
        <v/>
      </c>
      <c r="D79" s="37">
        <f>(SUMPRODUCT($G$34:$K$34,1/(1+$B79)^$G$19:$K$19)+D$75*$C$7/(1+$B79)^$K$19+Inputs!$C$15-Inputs!$C$16)/Inputs!$C$8</f>
        <v/>
      </c>
      <c r="E79" s="37">
        <f>(SUMPRODUCT($G$34:$K$34,1/(1+$B79)^$G$19:$K$19)+E$75*$C$7/(1+$B79)^$K$19+Inputs!$C$15-Inputs!$C$16)/Inputs!$C$8</f>
        <v/>
      </c>
    </row>
    <row r="80">
      <c r="B80" s="8" t="n">
        <v>0.12</v>
      </c>
      <c r="C80" s="37">
        <f>(SUMPRODUCT($G$34:$K$34,1/(1+$B80)^$G$19:$K$19)+C$75*$C$7/(1+$B80)^$K$19+Inputs!$C$15-Inputs!$C$16)/Inputs!$C$8</f>
        <v/>
      </c>
      <c r="D80" s="37">
        <f>(SUMPRODUCT($G$34:$K$34,1/(1+$B80)^$G$19:$K$19)+D$75*$C$7/(1+$B80)^$K$19+Inputs!$C$15-Inputs!$C$16)/Inputs!$C$8</f>
        <v/>
      </c>
      <c r="E80" s="37">
        <f>(SUMPRODUCT($G$34:$K$34,1/(1+$B80)^$G$19:$K$19)+E$75*$C$7/(1+$B80)^$K$19+Inputs!$C$15-Inputs!$C$16)/Inputs!$C$8</f>
        <v/>
      </c>
    </row>
    <row r="81"/>
    <row r="82">
      <c r="B82" s="5" t="inlineStr">
        <is>
          <t>H. CROSS-CHECKS AND WHAT-IFS</t>
        </is>
      </c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</row>
    <row r="83">
      <c r="B83" s="7" t="inlineStr">
        <is>
          <t>Base-case value per share using the H1 FY2026 diluted count instead</t>
        </is>
      </c>
      <c r="C83" s="37">
        <f>C55/Inputs!$C$9</f>
        <v/>
      </c>
      <c r="Q83" s="9" t="inlineStr">
        <is>
          <t>VAL s6: moves the answer by ~0.14% -- the choice of share count is immaterial</t>
        </is>
      </c>
    </row>
    <row r="84">
      <c r="B84" s="7" t="inlineStr">
        <is>
          <t xml:space="preserve">   difference vs the headline</t>
        </is>
      </c>
      <c r="C84" s="23">
        <f>C83/C57-1</f>
        <v/>
      </c>
    </row>
    <row r="85">
      <c r="B85" s="7" t="inlineStr">
        <is>
          <t>Base-case value per share if the $1.1M termination commitment IS deducted</t>
        </is>
      </c>
      <c r="C85" s="37">
        <f>(C55-Inputs!$C$13*(1-Inputs!$C$14))/Inputs!$C$8</f>
        <v/>
      </c>
      <c r="Q85" s="9" t="inlineStr">
        <is>
          <t>VAL s5: costs about $0.04 per share -- flagged, not silently included</t>
        </is>
      </c>
    </row>
    <row r="86">
      <c r="B86" s="7" t="inlineStr">
        <is>
          <t>Implied owners'-earnings yield on the terminal value (FY2030E OE / TV)</t>
        </is>
      </c>
      <c r="C86" s="23">
        <f>C7/E7</f>
        <v/>
      </c>
      <c r="Q86" s="9" t="inlineStr">
        <is>
          <t>TV s7 cross-check on the 12x multiple</t>
        </is>
      </c>
    </row>
    <row r="87">
      <c r="B87" s="7" t="inlineStr">
        <is>
          <t>Implied terminal EV / FY2030E revenue</t>
        </is>
      </c>
      <c r="C87" s="39">
        <f>E7/'Owners Earnings'!K53</f>
        <v/>
      </c>
      <c r="Q87" s="9" t="inlineStr">
        <is>
          <t>TV s7: 3.59x sales on a ~34% operating margin, against Cerillion at 4.62x on 39.5% and Enghouse at 1.41x on 18.6%</t>
        </is>
      </c>
    </row>
    <row r="88"/>
    <row r="89">
      <c r="B89" s="5" t="inlineStr">
        <is>
          <t>I. TIE-OUT: DOES THIS WORKBOOK REPRODUCE THE PYTHON SCRIPTS?</t>
        </is>
      </c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</row>
    <row r="90">
      <c r="B90" s="2" t="inlineStr">
        <is>
          <t>Published equity values from work_products/valuation.md section 5 (the output of valuation_calcs.py). The residual of about -$5 on ~$40M (-0.000013%, or -$0.0000002 per share) is fully attributed in work_products/valuation_xlsx_tieout.py: -$1.00 because the workbook links normalised SBC as a live =AVERAGE() formula (352,672/3 = 117,557.33) where the script hard-coded 117,557, and -$4.29 because the workbook carries the unrounded owners'-earnings path into the terminal value where the script multiplied the rounded FY2030E figure of 2,859,320. The workbook is the more precise of the two.</t>
        </is>
      </c>
    </row>
    <row r="91">
      <c r="C91" s="3" t="inlineStr">
        <is>
          <t>this workbook</t>
        </is>
      </c>
      <c r="D91" s="3" t="inlineStr">
        <is>
          <t>published</t>
        </is>
      </c>
      <c r="E91" s="3" t="inlineStr">
        <is>
          <t>difference</t>
        </is>
      </c>
    </row>
    <row r="92">
      <c r="B92" s="7" t="inlineStr">
        <is>
          <t>Equity value -- Bull</t>
        </is>
      </c>
      <c r="C92" s="16">
        <f>G61</f>
        <v/>
      </c>
      <c r="D92" s="10" t="n">
        <v>67694384</v>
      </c>
      <c r="E92" s="16">
        <f>C92-D92</f>
        <v/>
      </c>
      <c r="Q92" s="9" t="inlineStr">
        <is>
          <t>work_products/valuation.md s5 (output of valuation_calcs.py)</t>
        </is>
      </c>
    </row>
    <row r="93">
      <c r="B93" s="7" t="inlineStr">
        <is>
          <t>Equity value -- Base</t>
        </is>
      </c>
      <c r="C93" s="16">
        <f>G62</f>
        <v/>
      </c>
      <c r="D93" s="10" t="n">
        <v>39974178</v>
      </c>
      <c r="E93" s="16">
        <f>C93-D93</f>
        <v/>
      </c>
      <c r="Q93" s="9" t="inlineStr">
        <is>
          <t>work_products/valuation.md s5 (output of valuation_calcs.py)</t>
        </is>
      </c>
    </row>
    <row r="94">
      <c r="B94" s="7" t="inlineStr">
        <is>
          <t>Equity value -- Bear - management right-sizes</t>
        </is>
      </c>
      <c r="C94" s="16">
        <f>G63</f>
        <v/>
      </c>
      <c r="D94" s="10" t="n">
        <v>25865989</v>
      </c>
      <c r="E94" s="16">
        <f>C94-D94</f>
        <v/>
      </c>
      <c r="Q94" s="9" t="inlineStr">
        <is>
          <t>work_products/valuation.md s5 (output of valuation_calcs.py)</t>
        </is>
      </c>
    </row>
    <row r="95">
      <c r="B95" s="7" t="inlineStr">
        <is>
          <t>Equity value -- Bear - no cost response</t>
        </is>
      </c>
      <c r="C95" s="16">
        <f>G64</f>
        <v/>
      </c>
      <c r="D95" s="10" t="n">
        <v>21364839</v>
      </c>
      <c r="E95" s="16">
        <f>C95-D95</f>
        <v/>
      </c>
      <c r="Q95" s="9" t="inlineStr">
        <is>
          <t>work_products/valuation.md s5 (output of valuation_calcs.py)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2026-09-18T17:01:45Z</dcterms:created>
  <dcterms:modified xmlns:dcterms="http://purl.org/dc/terms/" xmlns:xsi="http://www.w3.org/2001/XMLSchema-instance" xsi:type="dcterms:W3CDTF">2026-09-18T17:01:45Z</dcterms:modified>
</cp:coreProperties>
</file>