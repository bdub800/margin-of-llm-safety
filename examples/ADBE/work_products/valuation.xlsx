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Inputs" sheetId="1" state="visible" r:id="rId1"/>
    <sheet xmlns:r="http://schemas.openxmlformats.org/officeDocument/2006/relationships" name="2. Owners Earnings" sheetId="2" state="visible" r:id="rId2"/>
    <sheet xmlns:r="http://schemas.openxmlformats.org/officeDocument/2006/relationships" name="3. Terminal Value and SOTP" sheetId="3" state="visible" r:id="rId3"/>
  </sheets>
  <definedNames/>
  <calcPr calcId="124519" fullCalcOnLoad="1"/>
</workbook>
</file>

<file path=xl/styles.xml><?xml version="1.0" encoding="utf-8"?>
<styleSheet xmlns="http://schemas.openxmlformats.org/spreadsheetml/2006/main">
  <numFmts count="8">
    <numFmt numFmtId="164" formatCode="0.0%;(0.0%)"/>
    <numFmt numFmtId="165" formatCode="0.0&quot;x&quot;"/>
    <numFmt numFmtId="166" formatCode="#,##0;(#,##0)"/>
    <numFmt numFmtId="167" formatCode="#,##0.0;(#,##0.0)"/>
    <numFmt numFmtId="168" formatCode="0.00%;(0.00%)"/>
    <numFmt numFmtId="169" formatCode="#,##0&quot; bp&quot;"/>
    <numFmt numFmtId="170" formatCode="$#,##0.00"/>
    <numFmt numFmtId="171" formatCode="#,##0.00;(#,##0.00)"/>
  </numFmts>
  <fonts count="8">
    <font>
      <name val="Calibri"/>
      <family val="2"/>
      <color theme="1"/>
      <sz val="11"/>
      <scheme val="minor"/>
    </font>
    <font>
      <b val="1"/>
      <sz val="14"/>
    </font>
    <font>
      <i val="1"/>
      <color rgb="00555555"/>
      <sz val="8"/>
    </font>
    <font>
      <i val="1"/>
      <color rgb="001F4E79"/>
      <sz val="9"/>
    </font>
    <font>
      <b val="1"/>
      <color rgb="00FFFFFF"/>
      <sz val="11"/>
    </font>
    <font>
      <b val="1"/>
      <sz val="10"/>
    </font>
    <font>
      <b val="1"/>
    </font>
    <font>
      <b val="1"/>
      <sz val="12"/>
    </font>
  </fonts>
  <fills count="8">
    <fill>
      <patternFill/>
    </fill>
    <fill>
      <patternFill patternType="gray125"/>
    </fill>
    <fill>
      <patternFill patternType="solid">
        <fgColor rgb="00FFE699"/>
      </patternFill>
    </fill>
    <fill>
      <patternFill patternType="solid">
        <fgColor rgb="00DDEBF7"/>
      </patternFill>
    </fill>
    <fill>
      <patternFill patternType="solid">
        <fgColor rgb="001F4E79"/>
      </patternFill>
    </fill>
    <fill>
      <patternFill patternType="solid">
        <fgColor rgb="00FFF2CC"/>
      </patternFill>
    </fill>
    <fill>
      <patternFill patternType="solid">
        <fgColor rgb="00D9E1F2"/>
      </patternFill>
    </fill>
    <fill>
      <patternFill patternType="solid">
        <fgColor rgb="00E2EFDA"/>
      </patternFill>
    </fill>
  </fills>
  <borders count="3">
    <border>
      <left/>
      <right/>
      <top/>
      <bottom/>
      <diagonal/>
    </border>
    <border>
      <top style="thin"/>
    </border>
    <border>
      <top style="double"/>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2" fillId="2" borderId="0" applyAlignment="1" pivotButton="0" quotePrefix="0" xfId="0">
      <alignment horizontal="center"/>
    </xf>
    <xf numFmtId="0" fontId="2" fillId="3" borderId="0" applyAlignment="1" pivotButton="0" quotePrefix="0" xfId="0">
      <alignment horizontal="center"/>
    </xf>
    <xf numFmtId="0" fontId="3" fillId="0" borderId="0" pivotButton="0" quotePrefix="0" xfId="0"/>
    <xf numFmtId="0" fontId="4" fillId="4" borderId="0" pivotButton="0" quotePrefix="0" xfId="0"/>
    <xf numFmtId="164" fontId="0" fillId="2" borderId="0" pivotButton="0" quotePrefix="0" xfId="0"/>
    <xf numFmtId="0" fontId="5" fillId="0" borderId="0" applyAlignment="1" pivotButton="0" quotePrefix="0" xfId="0">
      <alignment horizontal="center"/>
    </xf>
    <xf numFmtId="0" fontId="6" fillId="0" borderId="0" pivotButton="0" quotePrefix="0" xfId="0"/>
    <xf numFmtId="165" fontId="0" fillId="2" borderId="0" pivotButton="0" quotePrefix="0" xfId="0"/>
    <xf numFmtId="164" fontId="0" fillId="5" borderId="1" pivotButton="0" quotePrefix="0" xfId="0"/>
    <xf numFmtId="166" fontId="0" fillId="3" borderId="0" pivotButton="0" quotePrefix="0" xfId="0"/>
    <xf numFmtId="167" fontId="0" fillId="3" borderId="0" pivotButton="0" quotePrefix="0" xfId="0"/>
    <xf numFmtId="167" fontId="0" fillId="2" borderId="0" pivotButton="0" quotePrefix="0" xfId="0"/>
    <xf numFmtId="167" fontId="6" fillId="0" borderId="1" pivotButton="0" quotePrefix="0" xfId="0"/>
    <xf numFmtId="166" fontId="6" fillId="0" borderId="1" pivotButton="0" quotePrefix="0" xfId="0"/>
    <xf numFmtId="166" fontId="0" fillId="2" borderId="0" pivotButton="0" quotePrefix="0" xfId="0"/>
    <xf numFmtId="168" fontId="0" fillId="2" borderId="0" pivotButton="0" quotePrefix="0" xfId="0"/>
    <xf numFmtId="0" fontId="5" fillId="6" borderId="0" pivotButton="0" quotePrefix="0" xfId="0"/>
    <xf numFmtId="0" fontId="2" fillId="0" borderId="0" applyAlignment="1" pivotButton="0" quotePrefix="0" xfId="0">
      <alignment horizontal="center"/>
    </xf>
    <xf numFmtId="169" fontId="0" fillId="2" borderId="0" pivotButton="0" quotePrefix="0" xfId="0"/>
    <xf numFmtId="0" fontId="5" fillId="6" borderId="0" applyAlignment="1" pivotButton="0" quotePrefix="0" xfId="0">
      <alignment horizontal="center"/>
    </xf>
    <xf numFmtId="166" fontId="6" fillId="0" borderId="0" pivotButton="0" quotePrefix="0" xfId="0"/>
    <xf numFmtId="164" fontId="6" fillId="0" borderId="0" pivotButton="0" quotePrefix="0" xfId="0"/>
    <xf numFmtId="166" fontId="0" fillId="0" borderId="0" pivotButton="0" quotePrefix="0" xfId="0"/>
    <xf numFmtId="164" fontId="6" fillId="0" borderId="1" pivotButton="0" quotePrefix="0" xfId="0"/>
    <xf numFmtId="164" fontId="0" fillId="0" borderId="0" pivotButton="0" quotePrefix="0" xfId="0"/>
    <xf numFmtId="0" fontId="7" fillId="0" borderId="0" pivotButton="0" quotePrefix="0" xfId="0"/>
    <xf numFmtId="166" fontId="7" fillId="0" borderId="2" pivotButton="0" quotePrefix="0" xfId="0"/>
    <xf numFmtId="164" fontId="7" fillId="0" borderId="2" pivotButton="0" quotePrefix="0" xfId="0"/>
    <xf numFmtId="167" fontId="0" fillId="0" borderId="0" pivotButton="0" quotePrefix="0" xfId="0"/>
    <xf numFmtId="170" fontId="6" fillId="0" borderId="0" pivotButton="0" quotePrefix="0" xfId="0"/>
    <xf numFmtId="165" fontId="0" fillId="0" borderId="0" pivotButton="0" quotePrefix="0" xfId="0"/>
    <xf numFmtId="167" fontId="0" fillId="0" borderId="1" pivotButton="0" quotePrefix="0" xfId="0"/>
    <xf numFmtId="166" fontId="0" fillId="0" borderId="1" pivotButton="0" quotePrefix="0" xfId="0"/>
    <xf numFmtId="171" fontId="0" fillId="0" borderId="0" pivotButton="0" quotePrefix="0" xfId="0"/>
    <xf numFmtId="168" fontId="0" fillId="0" borderId="0" pivotButton="0" quotePrefix="0" xfId="0"/>
    <xf numFmtId="166" fontId="6" fillId="0" borderId="2" pivotButton="0" quotePrefix="0" xfId="0"/>
    <xf numFmtId="0" fontId="5" fillId="0" borderId="0" pivotButton="0" quotePrefix="0" xfId="0"/>
    <xf numFmtId="164" fontId="7" fillId="7" borderId="2" pivotButton="0" quotePrefix="0" xfId="0"/>
    <xf numFmtId="166" fontId="7" fillId="7" borderId="2" pivotButton="0" quotePrefix="0" xfId="0"/>
    <xf numFmtId="166" fontId="0" fillId="5" borderId="0" pivotButton="0" quotePrefix="0" xfId="0"/>
    <xf numFmtId="171" fontId="0" fillId="3" borderId="0" pivotButton="0" quotePrefix="0" xfId="0"/>
    <xf numFmtId="171" fontId="0" fillId="5" borderId="0" pivotButton="0" quotePrefix="0" xfId="0"/>
    <xf numFmtId="170" fontId="7" fillId="0" borderId="2" pivotButton="0" quotePrefix="0" xfId="0"/>
    <xf numFmtId="164" fontId="5" fillId="2" borderId="0" applyAlignment="1" pivotButton="0" quotePrefix="0" xfId="0">
      <alignment horizontal="center"/>
    </xf>
    <xf numFmtId="170" fontId="0" fillId="0" borderId="1" pivotButton="0" quotePrefix="0" xfId="0"/>
    <xf numFmtId="170" fontId="0" fillId="0" borderId="0" pivotButton="0" quotePrefix="0" xfId="0"/>
    <xf numFmtId="164" fontId="6" fillId="2" borderId="0" pivotButton="0" quotePrefix="0" xfId="0"/>
    <xf numFmtId="170" fontId="6" fillId="7" borderId="0" pivotButton="0" quotePrefix="0" xfId="0"/>
    <xf numFmtId="165" fontId="6" fillId="2" borderId="0" pivotButton="0" quotePrefix="0" xfId="0"/>
    <xf numFmtId="167"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C000"/>
    <outlinePr summaryBelow="1" summaryRight="1"/>
    <pageSetUpPr/>
  </sheetPr>
  <dimension ref="A1:K13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8" customWidth="1" min="1" max="1"/>
    <col width="13" customWidth="1" min="2" max="2"/>
    <col width="13" customWidth="1" min="3" max="3"/>
    <col width="3" customWidth="1" min="4" max="4"/>
    <col width="3" customWidth="1" min="5" max="5"/>
    <col width="12" customWidth="1" min="6" max="6"/>
    <col width="12" customWidth="1" min="7" max="7"/>
    <col width="12" customWidth="1" min="8" max="8"/>
    <col width="12" customWidth="1" min="9" max="9"/>
    <col width="12" customWidth="1" min="10" max="10"/>
    <col width="100" customWidth="1" min="11" max="11"/>
  </cols>
  <sheetData>
    <row r="1">
      <c r="A1" s="1" t="inlineStr">
        <is>
          <t>Adobe Inc. (ADBE) — MODEL INPUTS</t>
        </is>
      </c>
    </row>
    <row r="2">
      <c r="A2" s="2" t="inlineStr">
        <is>
          <t>Every hard-coded number in this workbook lives on this sheet. Sheets 2 and 3 contain formulas only.</t>
        </is>
      </c>
    </row>
    <row r="3">
      <c r="A3" s="2" t="inlineStr">
        <is>
          <t>AMBER = judgment / assumption input (change me).    BLUE = reported actual from a primary source (fixed).    White = formula.</t>
        </is>
      </c>
    </row>
    <row r="4">
      <c r="B4" s="3" t="inlineStr">
        <is>
          <t>AMBER</t>
        </is>
      </c>
      <c r="C4" s="4" t="inlineStr">
        <is>
          <t>BLUE</t>
        </is>
      </c>
    </row>
    <row r="6">
      <c r="A6" s="5" t="inlineStr">
        <is>
          <t>CONTENTS:  A. Valuation, tax and policy scalars   |   B. Scenario probabilities and terminal multiples   |   C. Equity bridge (Q2 FY2026 balance sheet)   |   D. Off-balance-sheet hosting obligations   |   E. Shared forecast assumptions   |   F. Scenario drivers   |   G. Interim actuals for the TTM build</t>
        </is>
      </c>
    </row>
    <row r="8">
      <c r="A8" s="6" t="inlineStr">
        <is>
          <t>A.  VALUATION, TAX AND POLICY SCALARS</t>
        </is>
      </c>
      <c r="B8" s="6" t="n"/>
      <c r="C8" s="6" t="n"/>
      <c r="D8" s="6" t="n"/>
      <c r="E8" s="6" t="n"/>
      <c r="F8" s="6" t="n"/>
      <c r="G8" s="6" t="n"/>
      <c r="H8" s="6" t="n"/>
      <c r="I8" s="6" t="n"/>
      <c r="J8" s="6" t="n"/>
      <c r="K8" s="6" t="n"/>
    </row>
    <row r="9">
      <c r="A9" t="inlineStr">
        <is>
          <t>Discount rate (r)</t>
        </is>
      </c>
      <c r="B9" s="7" t="n">
        <v>0.15</v>
      </c>
      <c r="K9" s="2" t="inlineStr">
        <is>
          <t>valuation.md §2 / §5.2: 'The discount rate is a stated variable, not a fitted one' — set at 15% per the brief, not derived from CAPM/WACC. valuation_calcs.py DISCOUNT_RATE.</t>
        </is>
      </c>
    </row>
    <row r="10">
      <c r="A10" t="inlineStr">
        <is>
          <t>Normalised tax rate</t>
        </is>
      </c>
      <c r="B10" s="7" t="n">
        <v>0.21</v>
      </c>
      <c r="K10" s="2" t="inlineStr">
        <is>
          <t>owners_earnings_and_roic.md §2.3: '21% ... approximately the U.S. federal statutory rate, sits within a point of the FY2023-FY2026E average GAAP ETR of 20.1% ... between the two converging measures.' GAAP ETR 18-23%, cash rate 25-27%. JUDGMENT. Sensitivity there: 18% -&gt; TTM OE $7,775M; 25% -&gt; $7,111M.</t>
        </is>
      </c>
    </row>
    <row r="11">
      <c r="A11" t="inlineStr">
        <is>
          <t>Discount rate for PV of purchase obligations</t>
        </is>
      </c>
      <c r="B11" s="7" t="n">
        <v>0.05</v>
      </c>
      <c r="K11" s="2" t="inlineStr">
        <is>
          <t>owners_earnings_calcs.py DISC (§5). JUDGMENT: roughly Adobe's marginal borrowing cost.</t>
        </is>
      </c>
    </row>
    <row r="12">
      <c r="A12" t="inlineStr">
        <is>
          <t>Operating cash need, % of revenue</t>
        </is>
      </c>
      <c r="B12" s="7" t="n">
        <v>0.02</v>
      </c>
      <c r="K12" s="2" t="inlineStr">
        <is>
          <t>owners_earnings_and_roic.md §4: 'Adobe collects in advance and runs negative working capital, so its genuine operating cash requirement is small ... This is an assumption, not a sourced figure.' owners_earnings_calcs.py OPERATING_CASH_PCT.</t>
        </is>
      </c>
    </row>
    <row r="13">
      <c r="A13" t="inlineStr">
        <is>
          <t>Terminal ROIC on incremental capital (Gordon cross-check only)</t>
        </is>
      </c>
      <c r="B13" s="7" t="n">
        <v>0.7</v>
      </c>
      <c r="K13" s="2" t="inlineStr">
        <is>
          <t>terminal_value.md §6.1 uses ROIC ~70% in the reinvestment drag term (1 - g/ROIC). owners_earnings_and_roic.md §1 reports TTM ROIC 72.0% (base) with a 43-45% conservative floor. Feeds the sheet-3 Gordon grid only — it does not affect the headline valuation.</t>
        </is>
      </c>
    </row>
    <row r="15">
      <c r="A15" s="6" t="inlineStr">
        <is>
          <t>B.  SCENARIO PROBABILITIES AND TERMINAL MULTIPLES</t>
        </is>
      </c>
      <c r="B15" s="6" t="n"/>
      <c r="C15" s="6" t="n"/>
      <c r="D15" s="6" t="n"/>
      <c r="E15" s="6" t="n"/>
      <c r="F15" s="6" t="n"/>
      <c r="G15" s="6" t="n"/>
      <c r="H15" s="6" t="n"/>
      <c r="I15" s="6" t="n"/>
      <c r="J15" s="6" t="n"/>
      <c r="K15" s="6" t="n"/>
    </row>
    <row r="16">
      <c r="B16" s="8" t="inlineStr">
        <is>
          <t>Probability</t>
        </is>
      </c>
      <c r="C16" s="8" t="inlineStr">
        <is>
          <t>Terminal x</t>
        </is>
      </c>
      <c r="K16" s="2" t="inlineStr">
        <is>
          <t>Probabilities: forecast_earnings.md §1 — 'my judgment and are not sourced'. Terminal multiples: terminal_value.md §6.2 — ANALYST JUDGMENT, cross-checked against the Gordon grid and peer multiples on sheet 3.</t>
        </is>
      </c>
    </row>
    <row r="17">
      <c r="A17" s="9" t="inlineStr">
        <is>
          <t>SEVERE</t>
        </is>
      </c>
      <c r="B17" s="7" t="n">
        <v>0.15</v>
      </c>
      <c r="C17" s="10" t="n">
        <v>7</v>
      </c>
      <c r="K17" s="2" t="inlineStr">
        <is>
          <t>terminal_value.md §6.2: terminal decline, AI substitutes the workflow. Gordon at g=-3%, r=10% -&gt; 8.0x. Market precedent ZM 9.0x; SSTK 0.23x sales after a -70% year.</t>
        </is>
      </c>
    </row>
    <row r="18">
      <c r="A18" s="9" t="inlineStr">
        <is>
          <t>BEAR</t>
        </is>
      </c>
      <c r="B18" s="7" t="n">
        <v>0.25</v>
      </c>
      <c r="C18" s="10" t="n">
        <v>11</v>
      </c>
      <c r="K18" s="2" t="inlineStr">
        <is>
          <t>terminal_value.md §6.2: grinding share loss, ~0-1% perpetual growth. Gordon at g=0-1%, r=9-10% -&gt; 10.0x-12.3x. Floor cohort DBX 19.7x, GEN 18.0x, ZM 9.0x.</t>
        </is>
      </c>
    </row>
    <row r="19">
      <c r="A19" s="9" t="inlineStr">
        <is>
          <t>BASE</t>
        </is>
      </c>
      <c r="B19" s="7" t="n">
        <v>0.4</v>
      </c>
      <c r="C19" s="10" t="n">
        <v>15</v>
      </c>
      <c r="K19" s="2" t="inlineStr">
        <is>
          <t>terminal_value.md §6.2: ~3% perpetual growth, 'the world where the question is neither resolved nor realised, so 15x — near today's actual and between the two peer cohorts — is the internally consistent choice.' Gordon at g=3%, r=9% -&gt; 16.0x.</t>
        </is>
      </c>
    </row>
    <row r="20">
      <c r="A20" s="9" t="inlineStr">
        <is>
          <t>BULL</t>
        </is>
      </c>
      <c r="B20" s="7" t="n">
        <v>0.2</v>
      </c>
      <c r="C20" s="10" t="n">
        <v>22</v>
      </c>
      <c r="K20" s="2" t="inlineStr">
        <is>
          <t>terminal_value.md §6.2: franchise durable, AI net accretive. Gordon at g=4%, r=8.5% ~ 21x. Mature-software median 27.2x; ADSK 33.8x. Set BELOW both.</t>
        </is>
      </c>
    </row>
    <row r="21">
      <c r="A21" t="inlineStr">
        <is>
          <t xml:space="preserve">  check: probabilities sum to 100%</t>
        </is>
      </c>
      <c r="B21" s="11">
        <f>SUM(B17:B20)</f>
        <v/>
      </c>
    </row>
    <row r="23">
      <c r="A23" s="6" t="inlineStr">
        <is>
          <t>C.  EQUITY BRIDGE — Q2 FY2026 BALANCE SHEET (period ended 29 May 2026)</t>
        </is>
      </c>
      <c r="B23" s="6" t="n"/>
      <c r="C23" s="6" t="n"/>
      <c r="D23" s="6" t="n"/>
      <c r="E23" s="6" t="n"/>
      <c r="F23" s="6" t="n"/>
      <c r="G23" s="6" t="n"/>
      <c r="H23" s="6" t="n"/>
      <c r="I23" s="6" t="n"/>
      <c r="J23" s="6" t="n"/>
      <c r="K23" s="6" t="n"/>
    </row>
    <row r="24">
      <c r="A24" t="inlineStr">
        <is>
          <t>Cash and cash equivalents</t>
        </is>
      </c>
      <c r="B24" s="12" t="n">
        <v>4919</v>
      </c>
      <c r="K24" s="2" t="inlineStr">
        <is>
          <t>primary_sources/2Q2026/financial_statements.md, consolidated balance sheet.</t>
        </is>
      </c>
    </row>
    <row r="25">
      <c r="A25" t="inlineStr">
        <is>
          <t>Short-term investments</t>
        </is>
      </c>
      <c r="B25" s="12" t="n">
        <v>707</v>
      </c>
      <c r="K25" s="2" t="inlineStr">
        <is>
          <t>primary_sources/2Q2026/financial_statements.md, consolidated balance sheet.</t>
        </is>
      </c>
    </row>
    <row r="26">
      <c r="A26" t="inlineStr">
        <is>
          <t>Debt, current (incl. $494M commercial paper), carrying value</t>
        </is>
      </c>
      <c r="B26" s="12" t="n">
        <v>1843</v>
      </c>
      <c r="K26" s="2" t="inlineStr">
        <is>
          <t>primary_sources/2Q2026/financial_statements.md, consolidated balance sheet. Commercial paper drawn $494M — 10-Q Note 14.</t>
        </is>
      </c>
    </row>
    <row r="27">
      <c r="A27" t="inlineStr">
        <is>
          <t>Debt, long-term (senior notes), carrying value</t>
        </is>
      </c>
      <c r="B27" s="12" t="n">
        <v>4802</v>
      </c>
      <c r="K27" s="2" t="inlineStr">
        <is>
          <t>primary_sources/2Q2026/financial_statements.md, consolidated balance sheet.</t>
        </is>
      </c>
    </row>
    <row r="28">
      <c r="A28" t="inlineStr">
        <is>
          <t>Operating lease liabilities, current</t>
        </is>
      </c>
      <c r="B28" s="12" t="n">
        <v>91</v>
      </c>
      <c r="K28" s="2" t="inlineStr">
        <is>
          <t>primary_sources/2Q2026/financial_statements.md, consolidated balance sheet.</t>
        </is>
      </c>
    </row>
    <row r="29">
      <c r="A29" t="inlineStr">
        <is>
          <t>Operating lease liabilities, long-term</t>
        </is>
      </c>
      <c r="B29" s="12" t="n">
        <v>329</v>
      </c>
      <c r="K29" s="2" t="inlineStr">
        <is>
          <t>primary_sources/2Q2026/financial_statements.md, consolidated balance sheet.</t>
        </is>
      </c>
    </row>
    <row r="30">
      <c r="A30" t="inlineStr">
        <is>
          <t>Shares outstanding, spot at 29 May 2026 (M)</t>
        </is>
      </c>
      <c r="B30" s="13" t="n">
        <v>399</v>
      </c>
      <c r="K30" s="2" t="inlineStr">
        <is>
          <t>primary_sources/2Q2026/financial_statements.md, consolidated balance sheet. A point-in-time count.</t>
        </is>
      </c>
    </row>
    <row r="31">
      <c r="A31" t="inlineStr">
        <is>
          <t>Current dilutive effect of stock plans (M)</t>
        </is>
      </c>
      <c r="B31" s="14" t="n">
        <v>0.1</v>
      </c>
      <c r="K31" s="2" t="inlineStr">
        <is>
          <t>10-Q Note 12: three-months-ended diluted w.a. 402.5M less basic w.a. 402.4M. Small because 12.1M potential shares are currently anti-dilutive.</t>
        </is>
      </c>
    </row>
    <row r="32">
      <c r="A32" s="9" t="inlineStr">
        <is>
          <t xml:space="preserve"> = Current diluted share count (M)</t>
        </is>
      </c>
      <c r="B32" s="15">
        <f>B30+B31</f>
        <v/>
      </c>
      <c r="K32" s="2" t="inlineStr">
        <is>
          <t>valuation.md §3 = 399.1M. Per the brief this is TODAY's share count: no forecast buyback shrinkage (notably NOT the FY2030E 341M in forecast_earnings.md §8). The 402.5M three-month weighted average was rejected as backward-looking and stale while Adobe repurchases continuously.</t>
        </is>
      </c>
    </row>
    <row r="34">
      <c r="A34" s="6" t="inlineStr">
        <is>
          <t>D.  OFF-BALANCE-SHEET HOSTING / DATA-CENTRE PURCHASE OBLIGATIONS</t>
        </is>
      </c>
      <c r="B34" s="6" t="n"/>
      <c r="C34" s="6" t="n"/>
      <c r="D34" s="6" t="n"/>
      <c r="E34" s="6" t="n"/>
      <c r="F34" s="6" t="n"/>
      <c r="G34" s="6" t="n"/>
      <c r="H34" s="6" t="n"/>
      <c r="I34" s="6" t="n"/>
      <c r="J34" s="6" t="n"/>
      <c r="K34" s="6" t="n"/>
    </row>
    <row r="35">
      <c r="A35" s="2" t="inlineStr">
        <is>
          <t>$6,821M of non-cancellable unconditional purchase obligations 'primarily relating to contracts with vendors for third-party hosting and data center services' (owners_earnings_and_roic.md §4.1).</t>
        </is>
      </c>
    </row>
    <row r="36">
      <c r="A36" t="inlineStr">
        <is>
          <t xml:space="preserve">  FY2026 contractual obligation</t>
        </is>
      </c>
      <c r="B36" s="12" t="n">
        <v>2083</v>
      </c>
      <c r="K36" s="2" t="inlineStr">
        <is>
          <t>primary_sources/FY2025/financial_statements.md Note 16 maturity schedule; owners_earnings_calcs.py §5.</t>
        </is>
      </c>
    </row>
    <row r="37">
      <c r="A37" t="inlineStr">
        <is>
          <t xml:space="preserve">  FY2027 contractual obligation</t>
        </is>
      </c>
      <c r="B37" s="12" t="n">
        <v>1901</v>
      </c>
    </row>
    <row r="38">
      <c r="A38" t="inlineStr">
        <is>
          <t xml:space="preserve">  FY2028 contractual obligation</t>
        </is>
      </c>
      <c r="B38" s="12" t="n">
        <v>1623</v>
      </c>
    </row>
    <row r="39">
      <c r="A39" t="inlineStr">
        <is>
          <t xml:space="preserve">  FY2029 contractual obligation</t>
        </is>
      </c>
      <c r="B39" s="12" t="n">
        <v>1196</v>
      </c>
    </row>
    <row r="40">
      <c r="A40" t="inlineStr">
        <is>
          <t xml:space="preserve">  FY2030 contractual obligation</t>
        </is>
      </c>
      <c r="B40" s="12" t="n">
        <v>12</v>
      </c>
    </row>
    <row r="41">
      <c r="A41" t="inlineStr">
        <is>
          <t xml:space="preserve">  FY2031 contractual obligation</t>
        </is>
      </c>
      <c r="B41" s="12" t="n">
        <v>6</v>
      </c>
    </row>
    <row r="42">
      <c r="A42" s="9" t="inlineStr">
        <is>
          <t>Undiscounted total</t>
        </is>
      </c>
      <c r="B42" s="16">
        <f>SUM(B36:B41)</f>
        <v/>
      </c>
    </row>
    <row r="43">
      <c r="A43" s="9" t="inlineStr">
        <is>
          <t xml:space="preserve"> = Present value, mid-year convention</t>
        </is>
      </c>
      <c r="B43" s="16">
        <f>SUMPRODUCT(B36:B41/(1+$B$11)^(ROW(B36:B41)-ROW($B$36)+0.5))</f>
        <v/>
      </c>
      <c r="K43" s="2" t="inlineStr">
        <is>
          <t>owners_earnings_and_roic.md §4.1 reports $6,259M at 5%. pv = SUM( v / 1.05^(i+0.5) ), i = 0..5 — owners_earnings_calcs.py §5.</t>
        </is>
      </c>
    </row>
    <row r="45">
      <c r="A45" s="6" t="inlineStr">
        <is>
          <t>E.  SHARED FORECAST ASSUMPTIONS (identical in all four scenarios)</t>
        </is>
      </c>
      <c r="B45" s="6" t="n"/>
      <c r="C45" s="6" t="n"/>
      <c r="D45" s="6" t="n"/>
      <c r="E45" s="6" t="n"/>
      <c r="F45" s="6" t="n"/>
      <c r="G45" s="6" t="n"/>
      <c r="H45" s="6" t="n"/>
      <c r="I45" s="6" t="n"/>
      <c r="J45" s="6" t="n"/>
      <c r="K45" s="6" t="n"/>
    </row>
    <row r="46">
      <c r="F46" s="8" t="inlineStr">
        <is>
          <t>FY2026E</t>
        </is>
      </c>
      <c r="G46" s="8" t="inlineStr">
        <is>
          <t>FY2027E</t>
        </is>
      </c>
      <c r="H46" s="8" t="inlineStr">
        <is>
          <t>FY2028E</t>
        </is>
      </c>
      <c r="I46" s="8" t="inlineStr">
        <is>
          <t>FY2029E</t>
        </is>
      </c>
      <c r="J46" s="8" t="inlineStr">
        <is>
          <t>FY2030E</t>
        </is>
      </c>
      <c r="K46" s="2" t="inlineStr">
        <is>
          <t>forecast_earnings.md §8 — the lines that do not vary by scenario.</t>
        </is>
      </c>
    </row>
    <row r="47">
      <c r="A47" t="inlineStr">
        <is>
          <t>Publishing &amp; Advertising subscription growth</t>
        </is>
      </c>
      <c r="F47" s="7" t="n">
        <v>-0.05</v>
      </c>
      <c r="G47" s="7" t="n">
        <v>-0.05</v>
      </c>
      <c r="H47" s="7" t="n">
        <v>-0.05</v>
      </c>
      <c r="I47" s="7" t="n">
        <v>-0.05</v>
      </c>
      <c r="J47" s="7" t="n">
        <v>-0.05</v>
      </c>
      <c r="K47" s="2" t="inlineStr">
        <is>
          <t>forecast_earnings_calcs.py §3 — run-off book. JUDGMENT.</t>
        </is>
      </c>
    </row>
    <row r="48">
      <c r="A48" t="inlineStr">
        <is>
          <t>Product revenue growth</t>
        </is>
      </c>
      <c r="F48" s="7" t="n">
        <v>-0.02</v>
      </c>
      <c r="G48" s="7" t="n">
        <v>-0.05</v>
      </c>
      <c r="H48" s="7" t="n">
        <v>-0.05</v>
      </c>
      <c r="I48" s="7" t="n">
        <v>-0.05</v>
      </c>
      <c r="J48" s="7" t="n">
        <v>-0.05</v>
      </c>
      <c r="K48" s="2" t="inlineStr">
        <is>
          <t>forecast_earnings_calcs.py §3 — perpetual-licence run-off. JUDGMENT.</t>
        </is>
      </c>
    </row>
    <row r="49">
      <c r="A49" t="inlineStr">
        <is>
          <t>Services and other revenue growth</t>
        </is>
      </c>
      <c r="F49" s="7" t="n">
        <v>-0.2</v>
      </c>
      <c r="G49" s="7" t="n">
        <v>-0.12</v>
      </c>
      <c r="H49" s="7" t="n">
        <v>-0.1</v>
      </c>
      <c r="I49" s="7" t="n">
        <v>-0.08</v>
      </c>
      <c r="J49" s="7" t="n">
        <v>-0.08</v>
      </c>
      <c r="K49" s="2" t="inlineStr">
        <is>
          <t>forecast_earnings_calcs.py §3 — 1H FY2026 annualised, then decline. JUDGMENT.</t>
        </is>
      </c>
    </row>
    <row r="50">
      <c r="A50" t="inlineStr">
        <is>
          <t>Creative FX translation contribution</t>
        </is>
      </c>
      <c r="F50" s="7" t="n">
        <v>0.02</v>
      </c>
      <c r="G50" s="7" t="n">
        <v>0</v>
      </c>
      <c r="H50" s="7" t="n">
        <v>0</v>
      </c>
      <c r="I50" s="7" t="n">
        <v>0</v>
      </c>
      <c r="J50" s="7" t="n">
        <v>0</v>
      </c>
      <c r="K50" s="2" t="inlineStr">
        <is>
          <t>Q2 FY2026 FX added ~$94M net (causal_model.md Factor 1.7). Zero after FY2026: the model takes no currency view. forecast_earnings.md §4.</t>
        </is>
      </c>
    </row>
    <row r="51">
      <c r="A51" t="inlineStr">
        <is>
          <t>Semrush revenue, $M (BEAR / BASE / BULL)</t>
        </is>
      </c>
      <c r="F51" s="17" t="n">
        <v>280</v>
      </c>
      <c r="G51" s="17" t="n">
        <v>500</v>
      </c>
      <c r="H51" s="17" t="n">
        <v>540</v>
      </c>
      <c r="I51" s="17" t="n">
        <v>578</v>
      </c>
      <c r="J51" s="17" t="n">
        <v>612</v>
      </c>
      <c r="K51" s="2" t="inlineStr">
        <is>
          <t>~$280M guided FY2026 contribution (primary_sources/2Q2026/md_and_a.md), then annualises at 6-8%. Acquisition closed April 2026. JUDGMENT.</t>
        </is>
      </c>
    </row>
    <row r="52">
      <c r="A52" t="inlineStr">
        <is>
          <t>Semrush revenue, $M — SEVERE case override</t>
        </is>
      </c>
      <c r="F52" s="17" t="n">
        <v>280</v>
      </c>
      <c r="G52" s="17" t="n">
        <v>470</v>
      </c>
      <c r="H52" s="17" t="n">
        <v>470</v>
      </c>
      <c r="I52" s="17" t="n">
        <v>470</v>
      </c>
      <c r="J52" s="17" t="n">
        <v>470</v>
      </c>
      <c r="K52" s="2" t="inlineStr">
        <is>
          <t>forecast_earnings_calcs.py §9 severe override sem=... . JUDGMENT.</t>
        </is>
      </c>
    </row>
    <row r="53">
      <c r="A53" t="inlineStr">
        <is>
          <t>Purchased-intangible amortisation, disclosed schedule ($M)</t>
        </is>
      </c>
      <c r="F53" s="12" t="n">
        <v>222</v>
      </c>
      <c r="G53" s="12" t="n">
        <v>208</v>
      </c>
      <c r="H53" s="12" t="n">
        <v>151</v>
      </c>
      <c r="I53" s="12" t="n">
        <v>146</v>
      </c>
      <c r="J53" s="12" t="n">
        <v>143</v>
      </c>
      <c r="K53" s="2" t="inlineStr">
        <is>
          <t>primary_sources/2Q2026/financial_statements.md Note 7. FY2026 = $91M actual 1H + $131M scheduled remainder. Excludes future acquisitions, so it is a FLOOR on future amortisation.</t>
        </is>
      </c>
    </row>
    <row r="54">
      <c r="A54" t="inlineStr">
        <is>
          <t>Non-recurring operating charges forecast ($M)</t>
        </is>
      </c>
      <c r="F54" s="17" t="n">
        <v>0</v>
      </c>
      <c r="G54" s="17" t="n">
        <v>0</v>
      </c>
      <c r="H54" s="17" t="n">
        <v>0</v>
      </c>
      <c r="I54" s="17" t="n">
        <v>0</v>
      </c>
      <c r="J54" s="17" t="n">
        <v>0</v>
      </c>
      <c r="K54" s="2" t="inlineStr">
        <is>
          <t>ASSUMPTION: no future one-off charges are forecast in any scenario. Adobe booked $1,078M in FY2024 (Figma termination fee plus lease impairments) and $162M in 1H FY2026 (goodwill impairment plus the FTC loss contingency), so zero is an optimistic convention, not a neutral one. Setting these cells non-zero reduces owners' earnings pound for pound. forecast_earnings.md forecasts no one-offs.</t>
        </is>
      </c>
    </row>
    <row r="56">
      <c r="A56" t="inlineStr">
        <is>
          <t>Product cost ratio (cost of product / product revenue)</t>
        </is>
      </c>
      <c r="B56" s="18" t="n">
        <v>0.07076923076923076</v>
      </c>
      <c r="K56" s="2" t="inlineStr">
        <is>
          <t>FY2025 actual $23M / $325M held flat. forecast_earnings_calcs.py PROD_COST_RATIO.</t>
        </is>
      </c>
    </row>
    <row r="57">
      <c r="A57" t="inlineStr">
        <is>
          <t>Services cost ratio (cost of services / services revenue)</t>
        </is>
      </c>
      <c r="B57" s="18" t="n">
        <v>1.05</v>
      </c>
      <c r="K57" s="2" t="inlineStr">
        <is>
          <t>Services is loss-making: FY2025 0.928, 1H FY2026 1.085. JUDGMENT 1.05.</t>
        </is>
      </c>
    </row>
    <row r="58">
      <c r="A58" t="inlineStr">
        <is>
          <t>FY2025 purchased-intangible amortisation inside cost of subscription ($M)</t>
        </is>
      </c>
      <c r="B58" s="12" t="n">
        <v>151</v>
      </c>
      <c r="K58" s="2" t="inlineStr">
        <is>
          <t>primary_sources/FY2025/financial_statements.md Note 8. Stripped out of the cost ratio because owners' earnings adds all purchased-intangible amortisation back.</t>
        </is>
      </c>
    </row>
    <row r="59">
      <c r="A59" t="inlineStr">
        <is>
          <t>PP&amp;E depreciation growth per year</t>
        </is>
      </c>
      <c r="B59" s="7" t="n">
        <v>0.05</v>
      </c>
      <c r="K59" s="2" t="inlineStr">
        <is>
          <t>forecast_earnings_calcs.py §8 chain(236.0, 5%). JUDGMENT.</t>
        </is>
      </c>
    </row>
    <row r="60">
      <c r="A60" t="inlineStr">
        <is>
          <t>Maintenance capex, FY2025 base ($M)</t>
        </is>
      </c>
      <c r="B60" s="17" t="n">
        <v>241</v>
      </c>
      <c r="K60" s="2" t="inlineStr">
        <is>
          <t xml:space="preserve"> = 3-year average actual capex FY2023-FY2025 ($240.667M), rounded — owners_earnings_and_roic.md §2.2: 'I use the three-year average actual capex of $241M as maintenance capex for every period — which lands within $5M of FY2025 depreciation.'</t>
        </is>
      </c>
    </row>
    <row r="61">
      <c r="A61" t="inlineStr">
        <is>
          <t>Maintenance capex growth per year</t>
        </is>
      </c>
      <c r="B61" s="7" t="n">
        <v>0.05</v>
      </c>
      <c r="K61" s="2" t="inlineStr">
        <is>
          <t>forecast_earnings_calcs.py §8 chain(241.0, 5%). JUDGMENT. Depreciation and maintenance capex both grow 5%, so they effectively cancel.</t>
        </is>
      </c>
    </row>
    <row r="63">
      <c r="A63" s="6" t="inlineStr">
        <is>
          <t>F.  SCENARIO DRIVERS — the root-cause variables the forecast is built on</t>
        </is>
      </c>
      <c r="B63" s="6" t="n"/>
      <c r="C63" s="6" t="n"/>
      <c r="D63" s="6" t="n"/>
      <c r="E63" s="6" t="n"/>
      <c r="F63" s="6" t="n"/>
      <c r="G63" s="6" t="n"/>
      <c r="H63" s="6" t="n"/>
      <c r="I63" s="6" t="n"/>
      <c r="J63" s="6" t="n"/>
      <c r="K63" s="6" t="n"/>
    </row>
    <row r="64">
      <c r="A64" s="2" t="inlineStr">
        <is>
          <t>Each scenario re-runs the identical engine on its own driver set (sheet 2 §5 and §6). forecast_earnings.md §2-§7; forecast_earnings_calcs.py §9 scenario().</t>
        </is>
      </c>
    </row>
    <row r="65">
      <c r="A65" s="19" t="inlineStr">
        <is>
          <t xml:space="preserve">  SEVERE  —  Generative AI SUBSTITUTES Adobe's creative workflows (as it did Adobe Stock); Adobe defends with price cuts and more advertising.</t>
        </is>
      </c>
      <c r="B65" s="19" t="n"/>
      <c r="C65" s="19" t="n"/>
      <c r="D65" s="19" t="n"/>
      <c r="E65" s="19" t="n"/>
      <c r="F65" s="19" t="n"/>
      <c r="G65" s="19" t="n"/>
      <c r="H65" s="19" t="n"/>
      <c r="I65" s="19" t="n"/>
      <c r="J65" s="19" t="n"/>
      <c r="K65" s="19" t="n"/>
    </row>
    <row r="66">
      <c r="F66" s="20" t="inlineStr">
        <is>
          <t>FY2026E</t>
        </is>
      </c>
      <c r="G66" s="20" t="inlineStr">
        <is>
          <t>FY2027E</t>
        </is>
      </c>
      <c r="H66" s="20" t="inlineStr">
        <is>
          <t>FY2028E</t>
        </is>
      </c>
      <c r="I66" s="20" t="inlineStr">
        <is>
          <t>FY2029E</t>
        </is>
      </c>
      <c r="J66" s="20" t="inlineStr">
        <is>
          <t>FY2030E</t>
        </is>
      </c>
    </row>
    <row r="67">
      <c r="A67" t="inlineStr">
        <is>
          <t xml:space="preserve">    MAU growth (Acrobat/Express monthly active users)</t>
        </is>
      </c>
      <c r="F67" s="7" t="n">
        <v>0.17</v>
      </c>
      <c r="G67" s="7" t="n">
        <v>0.08</v>
      </c>
      <c r="H67" s="7" t="n">
        <v>0.04</v>
      </c>
      <c r="I67" s="7" t="n">
        <v>0.02</v>
      </c>
      <c r="J67" s="7" t="n">
        <v>0</v>
      </c>
      <c r="K67" s="2" t="inlineStr">
        <is>
          <t>Q4 FY2025 call: MAU 'surpassed 750 million ... growing 20% year-over-year'. Decay paths are JUDGMENT. forecast_earnings.md §3, causal_model.md Factor 1.1.</t>
        </is>
      </c>
    </row>
    <row r="68">
      <c r="A68" t="inlineStr">
        <is>
          <t xml:space="preserve">    Change in revenue per average MAU</t>
        </is>
      </c>
      <c r="F68" s="7" t="n">
        <v>-0.055</v>
      </c>
      <c r="G68" s="7" t="n">
        <v>-0.07000000000000001</v>
      </c>
      <c r="H68" s="7" t="n">
        <v>-0.06</v>
      </c>
      <c r="I68" s="7" t="n">
        <v>-0.05</v>
      </c>
      <c r="J68" s="7" t="n">
        <v>-0.045</v>
      </c>
      <c r="K68" s="2" t="inlineStr">
        <is>
          <t>The observable composite of free-to-paid conversion x price per paid seat; Adobe discloses neither component. forecast_earnings.md §3 flags confidence as LOW. JUDGMENT.</t>
        </is>
      </c>
    </row>
    <row r="69">
      <c r="A69" t="inlineStr">
        <is>
          <t xml:space="preserve">    Creative paid-unit (volume) growth</t>
        </is>
      </c>
      <c r="F69" s="7" t="n">
        <v>0.06</v>
      </c>
      <c r="G69" s="7" t="n">
        <v>0</v>
      </c>
      <c r="H69" s="7" t="n">
        <v>-0.04</v>
      </c>
      <c r="I69" s="7" t="n">
        <v>-0.05</v>
      </c>
      <c r="J69" s="7" t="n">
        <v>-0.05</v>
      </c>
      <c r="K69" s="2" t="inlineStr">
        <is>
          <t>forecast_earnings.md §4: base decays 7.8% -&gt; 3.0%; 'the bear case takes volume to 0% by FY2030 and the severe case to -5%'. JUDGMENT.</t>
        </is>
      </c>
    </row>
    <row r="70">
      <c r="A70" t="inlineStr">
        <is>
          <t xml:space="preserve">    Creative value-based price / tier-mix growth</t>
        </is>
      </c>
      <c r="F70" s="7" t="n">
        <v>0</v>
      </c>
      <c r="G70" s="7" t="n">
        <v>0</v>
      </c>
      <c r="H70" s="7" t="n">
        <v>0</v>
      </c>
      <c r="I70" s="7" t="n">
        <v>0</v>
      </c>
      <c r="J70" s="7" t="n">
        <v>0</v>
      </c>
      <c r="K70" s="2" t="inlineStr">
        <is>
          <t>forecast_earnings.md §4 — value-based pricing and tier mix. JUDGMENT.</t>
        </is>
      </c>
    </row>
    <row r="71">
      <c r="A71" t="inlineStr">
        <is>
          <t xml:space="preserve">    Digital Experience subscription growth</t>
        </is>
      </c>
      <c r="F71" s="7" t="n">
        <v>0.08</v>
      </c>
      <c r="G71" s="7" t="n">
        <v>0.04</v>
      </c>
      <c r="H71" s="7" t="n">
        <v>0.025</v>
      </c>
      <c r="I71" s="7" t="n">
        <v>0.02</v>
      </c>
      <c r="J71" s="7" t="n">
        <v>0.015</v>
      </c>
      <c r="K71" s="2" t="inlineStr">
        <is>
          <t>forecast_earnings.md §5 — enterprise seat expansion and cross-sell. JUDGMENT.</t>
        </is>
      </c>
    </row>
    <row r="72">
      <c r="A72" t="inlineStr">
        <is>
          <t xml:space="preserve">    Subscription cost ratio drift, ex-amortisation (bp/yr)</t>
        </is>
      </c>
      <c r="F72" s="21" t="n">
        <v>90</v>
      </c>
      <c r="G72" s="21" t="n">
        <v>100</v>
      </c>
      <c r="H72" s="21" t="n">
        <v>90</v>
      </c>
      <c r="I72" s="21" t="n">
        <v>80</v>
      </c>
      <c r="J72" s="21" t="n">
        <v>70</v>
      </c>
      <c r="K72" s="2" t="inlineStr">
        <is>
          <t>THE key cost finding: on an ex-amortisation basis the hosting/AI-inference cost ratio is deteriorating ~60bp/yr right now. forecast_earnings.md §6. JUDGMENT on the decay path.</t>
        </is>
      </c>
    </row>
    <row r="73">
      <c r="A73" t="inlineStr">
        <is>
          <t xml:space="preserve">    Advertising, % of revenue</t>
        </is>
      </c>
      <c r="F73" s="18" t="n">
        <v>0.076</v>
      </c>
      <c r="G73" s="18" t="n">
        <v>0.076</v>
      </c>
      <c r="H73" s="18" t="n">
        <v>0.076</v>
      </c>
      <c r="I73" s="18" t="n">
        <v>0.076</v>
      </c>
      <c r="J73" s="18" t="n">
        <v>0.076</v>
      </c>
      <c r="K73" s="2" t="inlineStr">
        <is>
          <t>The freemium funnel spend, up 31.7% in FY2025 to $1,370M. forecast_earnings.md §7. JUDGMENT.</t>
        </is>
      </c>
    </row>
    <row r="74">
      <c r="A74" t="inlineStr">
        <is>
          <t xml:space="preserve">    Other sales &amp; marketing, % of revenue</t>
        </is>
      </c>
      <c r="F74" s="18" t="n">
        <v>0.218</v>
      </c>
      <c r="G74" s="18" t="n">
        <v>0.218</v>
      </c>
      <c r="H74" s="18" t="n">
        <v>0.218</v>
      </c>
      <c r="I74" s="18" t="n">
        <v>0.218</v>
      </c>
      <c r="J74" s="18" t="n">
        <v>0.218</v>
      </c>
      <c r="K74" s="2" t="inlineStr">
        <is>
          <t>forecast_earnings.md §7 — sales-force operating leverage. JUDGMENT.</t>
        </is>
      </c>
    </row>
    <row r="75">
      <c r="A75" t="inlineStr">
        <is>
          <t xml:space="preserve">    Research &amp; development, % of revenue</t>
        </is>
      </c>
      <c r="F75" s="18" t="n">
        <v>0.195</v>
      </c>
      <c r="G75" s="18" t="n">
        <v>0.195</v>
      </c>
      <c r="H75" s="18" t="n">
        <v>0.195</v>
      </c>
      <c r="I75" s="18" t="n">
        <v>0.195</v>
      </c>
      <c r="J75" s="18" t="n">
        <v>0.195</v>
      </c>
      <c r="K75" s="2" t="inlineStr">
        <is>
          <t>forecast_earnings.md §7: base 18.0%, 'bear case uses 18.7% and the severe case 19.5%'. JUDGMENT.</t>
        </is>
      </c>
    </row>
    <row r="76">
      <c r="A76" t="inlineStr">
        <is>
          <t xml:space="preserve">    General &amp; administrative, % of revenue</t>
        </is>
      </c>
      <c r="F76" s="18" t="n">
        <v>0.06900000000000001</v>
      </c>
      <c r="G76" s="18" t="n">
        <v>0.06900000000000001</v>
      </c>
      <c r="H76" s="18" t="n">
        <v>0.06900000000000001</v>
      </c>
      <c r="I76" s="18" t="n">
        <v>0.06900000000000001</v>
      </c>
      <c r="J76" s="18" t="n">
        <v>0.06900000000000001</v>
      </c>
      <c r="K76" s="2" t="inlineStr">
        <is>
          <t>forecast_earnings.md §7 — held flat at the FY2025 ratio in all scenarios except SEVERE (6.9%). JUDGMENT.</t>
        </is>
      </c>
    </row>
    <row r="78">
      <c r="A78" s="19" t="inlineStr">
        <is>
          <t xml:space="preserve">  BEAR  —  AI substitution bites Creative, freemium advertising never comes down, inference cost keeps compounding, BP&amp;C monetisation keeps eroding.</t>
        </is>
      </c>
      <c r="B78" s="19" t="n"/>
      <c r="C78" s="19" t="n"/>
      <c r="D78" s="19" t="n"/>
      <c r="E78" s="19" t="n"/>
      <c r="F78" s="19" t="n"/>
      <c r="G78" s="19" t="n"/>
      <c r="H78" s="19" t="n"/>
      <c r="I78" s="19" t="n"/>
      <c r="J78" s="19" t="n"/>
      <c r="K78" s="19" t="n"/>
    </row>
    <row r="79">
      <c r="F79" s="20" t="inlineStr">
        <is>
          <t>FY2026E</t>
        </is>
      </c>
      <c r="G79" s="20" t="inlineStr">
        <is>
          <t>FY2027E</t>
        </is>
      </c>
      <c r="H79" s="20" t="inlineStr">
        <is>
          <t>FY2028E</t>
        </is>
      </c>
      <c r="I79" s="20" t="inlineStr">
        <is>
          <t>FY2029E</t>
        </is>
      </c>
      <c r="J79" s="20" t="inlineStr">
        <is>
          <t>FY2030E</t>
        </is>
      </c>
    </row>
    <row r="80">
      <c r="A80" t="inlineStr">
        <is>
          <t xml:space="preserve">    MAU growth (Acrobat/Express monthly active users)</t>
        </is>
      </c>
      <c r="F80" s="7" t="n">
        <v>0.18</v>
      </c>
      <c r="G80" s="7" t="n">
        <v>0.11</v>
      </c>
      <c r="H80" s="7" t="n">
        <v>0.08</v>
      </c>
      <c r="I80" s="7" t="n">
        <v>0.06</v>
      </c>
      <c r="J80" s="7" t="n">
        <v>0.04</v>
      </c>
    </row>
    <row r="81">
      <c r="A81" t="inlineStr">
        <is>
          <t xml:space="preserve">    Change in revenue per average MAU</t>
        </is>
      </c>
      <c r="F81" s="7" t="n">
        <v>-0.045</v>
      </c>
      <c r="G81" s="7" t="n">
        <v>-0.045</v>
      </c>
      <c r="H81" s="7" t="n">
        <v>-0.035</v>
      </c>
      <c r="I81" s="7" t="n">
        <v>-0.03</v>
      </c>
      <c r="J81" s="7" t="n">
        <v>-0.03</v>
      </c>
    </row>
    <row r="82">
      <c r="A82" t="inlineStr">
        <is>
          <t xml:space="preserve">    Creative paid-unit (volume) growth</t>
        </is>
      </c>
      <c r="F82" s="7" t="n">
        <v>0.07000000000000001</v>
      </c>
      <c r="G82" s="7" t="n">
        <v>0.035</v>
      </c>
      <c r="H82" s="7" t="n">
        <v>0.02</v>
      </c>
      <c r="I82" s="7" t="n">
        <v>0.01</v>
      </c>
      <c r="J82" s="7" t="n">
        <v>0</v>
      </c>
    </row>
    <row r="83">
      <c r="A83" t="inlineStr">
        <is>
          <t xml:space="preserve">    Creative value-based price / tier-mix growth</t>
        </is>
      </c>
      <c r="F83" s="7" t="n">
        <v>0.005</v>
      </c>
      <c r="G83" s="7" t="n">
        <v>0.01</v>
      </c>
      <c r="H83" s="7" t="n">
        <v>0.01</v>
      </c>
      <c r="I83" s="7" t="n">
        <v>0.01</v>
      </c>
      <c r="J83" s="7" t="n">
        <v>0.01</v>
      </c>
    </row>
    <row r="84">
      <c r="A84" t="inlineStr">
        <is>
          <t xml:space="preserve">    Digital Experience subscription growth</t>
        </is>
      </c>
      <c r="F84" s="7" t="n">
        <v>0.08500000000000001</v>
      </c>
      <c r="G84" s="7" t="n">
        <v>0.06</v>
      </c>
      <c r="H84" s="7" t="n">
        <v>0.05</v>
      </c>
      <c r="I84" s="7" t="n">
        <v>0.045</v>
      </c>
      <c r="J84" s="7" t="n">
        <v>0.04</v>
      </c>
    </row>
    <row r="85">
      <c r="A85" t="inlineStr">
        <is>
          <t xml:space="preserve">    Subscription cost ratio drift, ex-amortisation (bp/yr)</t>
        </is>
      </c>
      <c r="F85" s="21" t="n">
        <v>80</v>
      </c>
      <c r="G85" s="21" t="n">
        <v>75</v>
      </c>
      <c r="H85" s="21" t="n">
        <v>65</v>
      </c>
      <c r="I85" s="21" t="n">
        <v>60</v>
      </c>
      <c r="J85" s="21" t="n">
        <v>55</v>
      </c>
    </row>
    <row r="86">
      <c r="A86" t="inlineStr">
        <is>
          <t xml:space="preserve">    Advertising, % of revenue</t>
        </is>
      </c>
      <c r="F86" s="18" t="n">
        <v>0.07000000000000001</v>
      </c>
      <c r="G86" s="18" t="n">
        <v>0.073</v>
      </c>
      <c r="H86" s="18" t="n">
        <v>0.073</v>
      </c>
      <c r="I86" s="18" t="n">
        <v>0.073</v>
      </c>
      <c r="J86" s="18" t="n">
        <v>0.073</v>
      </c>
    </row>
    <row r="87">
      <c r="A87" t="inlineStr">
        <is>
          <t xml:space="preserve">    Other sales &amp; marketing, % of revenue</t>
        </is>
      </c>
      <c r="F87" s="18" t="n">
        <v>0.213</v>
      </c>
      <c r="G87" s="18" t="n">
        <v>0.213</v>
      </c>
      <c r="H87" s="18" t="n">
        <v>0.213</v>
      </c>
      <c r="I87" s="18" t="n">
        <v>0.213</v>
      </c>
      <c r="J87" s="18" t="n">
        <v>0.213</v>
      </c>
    </row>
    <row r="88">
      <c r="A88" t="inlineStr">
        <is>
          <t xml:space="preserve">    Research &amp; development, % of revenue</t>
        </is>
      </c>
      <c r="F88" s="18" t="n">
        <v>0.187</v>
      </c>
      <c r="G88" s="18" t="n">
        <v>0.187</v>
      </c>
      <c r="H88" s="18" t="n">
        <v>0.187</v>
      </c>
      <c r="I88" s="18" t="n">
        <v>0.187</v>
      </c>
      <c r="J88" s="18" t="n">
        <v>0.187</v>
      </c>
    </row>
    <row r="89">
      <c r="A89" t="inlineStr">
        <is>
          <t xml:space="preserve">    General &amp; administrative, % of revenue</t>
        </is>
      </c>
      <c r="F89" s="18" t="n">
        <v>0.067</v>
      </c>
      <c r="G89" s="18" t="n">
        <v>0.067</v>
      </c>
      <c r="H89" s="18" t="n">
        <v>0.067</v>
      </c>
      <c r="I89" s="18" t="n">
        <v>0.067</v>
      </c>
      <c r="J89" s="18" t="n">
        <v>0.067</v>
      </c>
    </row>
    <row r="91">
      <c r="A91" s="19" t="inlineStr">
        <is>
          <t xml:space="preserve">  BASE  —  Freemium reach compounds but monetises at a falling rate; hosting/AI cost drift decays; modest operating leverage in S&amp;M.</t>
        </is>
      </c>
      <c r="B91" s="19" t="n"/>
      <c r="C91" s="19" t="n"/>
      <c r="D91" s="19" t="n"/>
      <c r="E91" s="19" t="n"/>
      <c r="F91" s="19" t="n"/>
      <c r="G91" s="19" t="n"/>
      <c r="H91" s="19" t="n"/>
      <c r="I91" s="19" t="n"/>
      <c r="J91" s="19" t="n"/>
      <c r="K91" s="19" t="n"/>
    </row>
    <row r="92">
      <c r="F92" s="20" t="inlineStr">
        <is>
          <t>FY2026E</t>
        </is>
      </c>
      <c r="G92" s="20" t="inlineStr">
        <is>
          <t>FY2027E</t>
        </is>
      </c>
      <c r="H92" s="20" t="inlineStr">
        <is>
          <t>FY2028E</t>
        </is>
      </c>
      <c r="I92" s="20" t="inlineStr">
        <is>
          <t>FY2029E</t>
        </is>
      </c>
      <c r="J92" s="20" t="inlineStr">
        <is>
          <t>FY2030E</t>
        </is>
      </c>
    </row>
    <row r="93">
      <c r="A93" t="inlineStr">
        <is>
          <t xml:space="preserve">    MAU growth (Acrobat/Express monthly active users)</t>
        </is>
      </c>
      <c r="F93" s="7" t="n">
        <v>0.18</v>
      </c>
      <c r="G93" s="7" t="n">
        <v>0.13</v>
      </c>
      <c r="H93" s="7" t="n">
        <v>0.1</v>
      </c>
      <c r="I93" s="7" t="n">
        <v>0.08</v>
      </c>
      <c r="J93" s="7" t="n">
        <v>0.06</v>
      </c>
    </row>
    <row r="94">
      <c r="A94" t="inlineStr">
        <is>
          <t xml:space="preserve">    Change in revenue per average MAU</t>
        </is>
      </c>
      <c r="F94" s="7" t="n">
        <v>-0.035</v>
      </c>
      <c r="G94" s="7" t="n">
        <v>-0.025</v>
      </c>
      <c r="H94" s="7" t="n">
        <v>-0.01</v>
      </c>
      <c r="I94" s="7" t="n">
        <v>0</v>
      </c>
      <c r="J94" s="7" t="n">
        <v>0</v>
      </c>
    </row>
    <row r="95">
      <c r="A95" t="inlineStr">
        <is>
          <t xml:space="preserve">    Creative paid-unit (volume) growth</t>
        </is>
      </c>
      <c r="F95" s="7" t="n">
        <v>0.078</v>
      </c>
      <c r="G95" s="7" t="n">
        <v>0.06</v>
      </c>
      <c r="H95" s="7" t="n">
        <v>0.05</v>
      </c>
      <c r="I95" s="7" t="n">
        <v>0.04</v>
      </c>
      <c r="J95" s="7" t="n">
        <v>0.03</v>
      </c>
    </row>
    <row r="96">
      <c r="A96" t="inlineStr">
        <is>
          <t xml:space="preserve">    Creative value-based price / tier-mix growth</t>
        </is>
      </c>
      <c r="F96" s="7" t="n">
        <v>0.005</v>
      </c>
      <c r="G96" s="7" t="n">
        <v>0.02</v>
      </c>
      <c r="H96" s="7" t="n">
        <v>0.02</v>
      </c>
      <c r="I96" s="7" t="n">
        <v>0.02</v>
      </c>
      <c r="J96" s="7" t="n">
        <v>0.02</v>
      </c>
    </row>
    <row r="97">
      <c r="A97" t="inlineStr">
        <is>
          <t xml:space="preserve">    Digital Experience subscription growth</t>
        </is>
      </c>
      <c r="F97" s="7" t="n">
        <v>0.09</v>
      </c>
      <c r="G97" s="7" t="n">
        <v>0.08</v>
      </c>
      <c r="H97" s="7" t="n">
        <v>0.075</v>
      </c>
      <c r="I97" s="7" t="n">
        <v>0.07000000000000001</v>
      </c>
      <c r="J97" s="7" t="n">
        <v>0.065</v>
      </c>
    </row>
    <row r="98">
      <c r="A98" t="inlineStr">
        <is>
          <t xml:space="preserve">    Subscription cost ratio drift, ex-amortisation (bp/yr)</t>
        </is>
      </c>
      <c r="F98" s="21" t="n">
        <v>72</v>
      </c>
      <c r="G98" s="21" t="n">
        <v>50</v>
      </c>
      <c r="H98" s="21" t="n">
        <v>35</v>
      </c>
      <c r="I98" s="21" t="n">
        <v>25</v>
      </c>
      <c r="J98" s="21" t="n">
        <v>20</v>
      </c>
    </row>
    <row r="99">
      <c r="A99" t="inlineStr">
        <is>
          <t xml:space="preserve">    Advertising, % of revenue</t>
        </is>
      </c>
      <c r="F99" s="18" t="n">
        <v>0.06900000000000001</v>
      </c>
      <c r="G99" s="18" t="n">
        <v>0.06950000000000001</v>
      </c>
      <c r="H99" s="18" t="n">
        <v>0.065</v>
      </c>
      <c r="I99" s="18" t="n">
        <v>0.061</v>
      </c>
      <c r="J99" s="18" t="n">
        <v>0.058</v>
      </c>
    </row>
    <row r="100">
      <c r="A100" t="inlineStr">
        <is>
          <t xml:space="preserve">    Other sales &amp; marketing, % of revenue</t>
        </is>
      </c>
      <c r="F100" s="18" t="n">
        <v>0.21</v>
      </c>
      <c r="G100" s="18" t="n">
        <v>0.207</v>
      </c>
      <c r="H100" s="18" t="n">
        <v>0.204</v>
      </c>
      <c r="I100" s="18" t="n">
        <v>0.2015</v>
      </c>
      <c r="J100" s="18" t="n">
        <v>0.1995</v>
      </c>
    </row>
    <row r="101">
      <c r="A101" t="inlineStr">
        <is>
          <t xml:space="preserve">    Research &amp; development, % of revenue</t>
        </is>
      </c>
      <c r="F101" s="18" t="n">
        <v>0.18</v>
      </c>
      <c r="G101" s="18" t="n">
        <v>0.18</v>
      </c>
      <c r="H101" s="18" t="n">
        <v>0.18</v>
      </c>
      <c r="I101" s="18" t="n">
        <v>0.18</v>
      </c>
      <c r="J101" s="18" t="n">
        <v>0.18</v>
      </c>
    </row>
    <row r="102">
      <c r="A102" t="inlineStr">
        <is>
          <t xml:space="preserve">    General &amp; administrative, % of revenue</t>
        </is>
      </c>
      <c r="F102" s="18" t="n">
        <v>0.067</v>
      </c>
      <c r="G102" s="18" t="n">
        <v>0.067</v>
      </c>
      <c r="H102" s="18" t="n">
        <v>0.067</v>
      </c>
      <c r="I102" s="18" t="n">
        <v>0.067</v>
      </c>
      <c r="J102" s="18" t="n">
        <v>0.067</v>
      </c>
    </row>
    <row r="104">
      <c r="A104" s="19" t="inlineStr">
        <is>
          <t xml:space="preserve">  BULL  —  Freemium converts, unit inference-cost deflation outruns volume growth, advertising normalises after FY2027, price optimisations resume in full.</t>
        </is>
      </c>
      <c r="B104" s="19" t="n"/>
      <c r="C104" s="19" t="n"/>
      <c r="D104" s="19" t="n"/>
      <c r="E104" s="19" t="n"/>
      <c r="F104" s="19" t="n"/>
      <c r="G104" s="19" t="n"/>
      <c r="H104" s="19" t="n"/>
      <c r="I104" s="19" t="n"/>
      <c r="J104" s="19" t="n"/>
      <c r="K104" s="19" t="n"/>
    </row>
    <row r="105">
      <c r="F105" s="20" t="inlineStr">
        <is>
          <t>FY2026E</t>
        </is>
      </c>
      <c r="G105" s="20" t="inlineStr">
        <is>
          <t>FY2027E</t>
        </is>
      </c>
      <c r="H105" s="20" t="inlineStr">
        <is>
          <t>FY2028E</t>
        </is>
      </c>
      <c r="I105" s="20" t="inlineStr">
        <is>
          <t>FY2029E</t>
        </is>
      </c>
      <c r="J105" s="20" t="inlineStr">
        <is>
          <t>FY2030E</t>
        </is>
      </c>
    </row>
    <row r="106">
      <c r="A106" t="inlineStr">
        <is>
          <t xml:space="preserve">    MAU growth (Acrobat/Express monthly active users)</t>
        </is>
      </c>
      <c r="F106" s="7" t="n">
        <v>0.19</v>
      </c>
      <c r="G106" s="7" t="n">
        <v>0.15</v>
      </c>
      <c r="H106" s="7" t="n">
        <v>0.12</v>
      </c>
      <c r="I106" s="7" t="n">
        <v>0.1</v>
      </c>
      <c r="J106" s="7" t="n">
        <v>0.08</v>
      </c>
    </row>
    <row r="107">
      <c r="A107" t="inlineStr">
        <is>
          <t xml:space="preserve">    Change in revenue per average MAU</t>
        </is>
      </c>
      <c r="F107" s="7" t="n">
        <v>-0.03</v>
      </c>
      <c r="G107" s="7" t="n">
        <v>-0.005</v>
      </c>
      <c r="H107" s="7" t="n">
        <v>0.01</v>
      </c>
      <c r="I107" s="7" t="n">
        <v>0.015</v>
      </c>
      <c r="J107" s="7" t="n">
        <v>0.015</v>
      </c>
    </row>
    <row r="108">
      <c r="A108" t="inlineStr">
        <is>
          <t xml:space="preserve">    Creative paid-unit (volume) growth</t>
        </is>
      </c>
      <c r="F108" s="7" t="n">
        <v>0.08500000000000001</v>
      </c>
      <c r="G108" s="7" t="n">
        <v>0.08500000000000001</v>
      </c>
      <c r="H108" s="7" t="n">
        <v>0.075</v>
      </c>
      <c r="I108" s="7" t="n">
        <v>0.065</v>
      </c>
      <c r="J108" s="7" t="n">
        <v>0.055</v>
      </c>
    </row>
    <row r="109">
      <c r="A109" t="inlineStr">
        <is>
          <t xml:space="preserve">    Creative value-based price / tier-mix growth</t>
        </is>
      </c>
      <c r="F109" s="7" t="n">
        <v>0.005</v>
      </c>
      <c r="G109" s="7" t="n">
        <v>0.03</v>
      </c>
      <c r="H109" s="7" t="n">
        <v>0.03</v>
      </c>
      <c r="I109" s="7" t="n">
        <v>0.03</v>
      </c>
      <c r="J109" s="7" t="n">
        <v>0.03</v>
      </c>
    </row>
    <row r="110">
      <c r="A110" t="inlineStr">
        <is>
          <t xml:space="preserve">    Digital Experience subscription growth</t>
        </is>
      </c>
      <c r="F110" s="7" t="n">
        <v>0.095</v>
      </c>
      <c r="G110" s="7" t="n">
        <v>0.095</v>
      </c>
      <c r="H110" s="7" t="n">
        <v>0.09</v>
      </c>
      <c r="I110" s="7" t="n">
        <v>0.08500000000000001</v>
      </c>
      <c r="J110" s="7" t="n">
        <v>0.08</v>
      </c>
    </row>
    <row r="111">
      <c r="A111" t="inlineStr">
        <is>
          <t xml:space="preserve">    Subscription cost ratio drift, ex-amortisation (bp/yr)</t>
        </is>
      </c>
      <c r="F111" s="21" t="n">
        <v>60</v>
      </c>
      <c r="G111" s="21" t="n">
        <v>25</v>
      </c>
      <c r="H111" s="21" t="n">
        <v>10</v>
      </c>
      <c r="I111" s="21" t="n">
        <v>0</v>
      </c>
      <c r="J111" s="21" t="n">
        <v>-10</v>
      </c>
    </row>
    <row r="112">
      <c r="A112" t="inlineStr">
        <is>
          <t xml:space="preserve">    Advertising, % of revenue</t>
        </is>
      </c>
      <c r="F112" s="18" t="n">
        <v>0.068</v>
      </c>
      <c r="G112" s="18" t="n">
        <v>0.066</v>
      </c>
      <c r="H112" s="18" t="n">
        <v>0.059</v>
      </c>
      <c r="I112" s="18" t="n">
        <v>0.054</v>
      </c>
      <c r="J112" s="18" t="n">
        <v>0.051</v>
      </c>
    </row>
    <row r="113">
      <c r="A113" t="inlineStr">
        <is>
          <t xml:space="preserve">    Other sales &amp; marketing, % of revenue</t>
        </is>
      </c>
      <c r="F113" s="18" t="n">
        <v>0.209</v>
      </c>
      <c r="G113" s="18" t="n">
        <v>0.204</v>
      </c>
      <c r="H113" s="18" t="n">
        <v>0.199</v>
      </c>
      <c r="I113" s="18" t="n">
        <v>0.195</v>
      </c>
      <c r="J113" s="18" t="n">
        <v>0.191</v>
      </c>
    </row>
    <row r="114">
      <c r="A114" t="inlineStr">
        <is>
          <t xml:space="preserve">    Research &amp; development, % of revenue</t>
        </is>
      </c>
      <c r="F114" s="18" t="n">
        <v>0.178</v>
      </c>
      <c r="G114" s="18" t="n">
        <v>0.178</v>
      </c>
      <c r="H114" s="18" t="n">
        <v>0.178</v>
      </c>
      <c r="I114" s="18" t="n">
        <v>0.178</v>
      </c>
      <c r="J114" s="18" t="n">
        <v>0.178</v>
      </c>
    </row>
    <row r="115">
      <c r="A115" t="inlineStr">
        <is>
          <t xml:space="preserve">    General &amp; administrative, % of revenue</t>
        </is>
      </c>
      <c r="F115" s="18" t="n">
        <v>0.067</v>
      </c>
      <c r="G115" s="18" t="n">
        <v>0.067</v>
      </c>
      <c r="H115" s="18" t="n">
        <v>0.067</v>
      </c>
      <c r="I115" s="18" t="n">
        <v>0.067</v>
      </c>
      <c r="J115" s="18" t="n">
        <v>0.067</v>
      </c>
    </row>
    <row r="117">
      <c r="A117" s="6" t="inlineStr">
        <is>
          <t>G.  INTERIM ACTUALS USED TO BUILD THE TTM Q2 FY2026 COLUMN</t>
        </is>
      </c>
      <c r="B117" s="6" t="n"/>
      <c r="C117" s="6" t="n"/>
      <c r="D117" s="6" t="n"/>
      <c r="E117" s="6" t="n"/>
      <c r="F117" s="6" t="n"/>
      <c r="G117" s="6" t="n"/>
      <c r="H117" s="6" t="n"/>
      <c r="I117" s="6" t="n"/>
      <c r="J117" s="6" t="n"/>
      <c r="K117" s="6" t="n"/>
    </row>
    <row r="118">
      <c r="A118" s="2" t="inlineStr">
        <is>
          <t>Convention: TTM = FY2025 − 1H FY2025 + 1H FY2026 (owners_earnings_calcs.py §3).</t>
        </is>
      </c>
    </row>
    <row r="119">
      <c r="B119" s="8" t="inlineStr">
        <is>
          <t>1H FY2025</t>
        </is>
      </c>
      <c r="C119" s="8" t="inlineStr">
        <is>
          <t>1H FY2026</t>
        </is>
      </c>
      <c r="K119" s="2" t="inlineStr">
        <is>
          <t>primary_sources/2Q2026/financial_statements.md — six months ended 30 May 2025 and 29 May 2026.</t>
        </is>
      </c>
    </row>
    <row r="120">
      <c r="A120" t="inlineStr">
        <is>
          <t xml:space="preserve">  Subscription revenue</t>
        </is>
      </c>
      <c r="B120" s="12" t="n">
        <v>11124</v>
      </c>
      <c r="C120" s="12" t="n">
        <v>12614</v>
      </c>
    </row>
    <row r="121">
      <c r="A121" t="inlineStr">
        <is>
          <t xml:space="preserve">  Product revenue</t>
        </is>
      </c>
      <c r="B121" s="12" t="n">
        <v>183</v>
      </c>
      <c r="C121" s="12" t="n">
        <v>179</v>
      </c>
    </row>
    <row r="122">
      <c r="A122" t="inlineStr">
        <is>
          <t xml:space="preserve">  Services and other revenue</t>
        </is>
      </c>
      <c r="B122" s="12" t="n">
        <v>280</v>
      </c>
      <c r="C122" s="12" t="n">
        <v>223</v>
      </c>
    </row>
    <row r="123">
      <c r="A123" t="inlineStr">
        <is>
          <t xml:space="preserve">  Cost of subscription revenue</t>
        </is>
      </c>
      <c r="B123" s="12" t="n">
        <v>995</v>
      </c>
      <c r="C123" s="12" t="n">
        <v>1126</v>
      </c>
    </row>
    <row r="124">
      <c r="A124" t="inlineStr">
        <is>
          <t xml:space="preserve">  Cost of product revenue</t>
        </is>
      </c>
      <c r="B124" s="12" t="n">
        <v>12</v>
      </c>
      <c r="C124" s="12" t="n">
        <v>11</v>
      </c>
    </row>
    <row r="125">
      <c r="A125" t="inlineStr">
        <is>
          <t xml:space="preserve">  Cost of services and other revenue</t>
        </is>
      </c>
      <c r="B125" s="12" t="n">
        <v>253</v>
      </c>
      <c r="C125" s="12" t="n">
        <v>242</v>
      </c>
    </row>
    <row r="126">
      <c r="A126" t="inlineStr">
        <is>
          <t xml:space="preserve">  Research and development</t>
        </is>
      </c>
      <c r="B126" s="12" t="n">
        <v>2108</v>
      </c>
      <c r="C126" s="12" t="n">
        <v>2308</v>
      </c>
    </row>
    <row r="127">
      <c r="A127" t="inlineStr">
        <is>
          <t xml:space="preserve">  Sales and marketing</t>
        </is>
      </c>
      <c r="B127" s="12" t="n">
        <v>3121</v>
      </c>
      <c r="C127" s="12" t="n">
        <v>3592</v>
      </c>
    </row>
    <row r="128">
      <c r="A128" t="inlineStr">
        <is>
          <t xml:space="preserve">  General and administrative</t>
        </is>
      </c>
      <c r="B128" s="12" t="n">
        <v>744</v>
      </c>
      <c r="C128" s="12" t="n">
        <v>1009</v>
      </c>
    </row>
    <row r="129">
      <c r="A129" t="inlineStr">
        <is>
          <t xml:space="preserve">  Amortisation of intangibles (opex line)</t>
        </is>
      </c>
      <c r="B129" s="12" t="n">
        <v>82</v>
      </c>
      <c r="C129" s="12" t="n">
        <v>72</v>
      </c>
    </row>
    <row r="130">
      <c r="A130" t="inlineStr">
        <is>
          <t xml:space="preserve">  Operating income (EBIT), reported</t>
        </is>
      </c>
      <c r="B130" s="12" t="n">
        <v>4272</v>
      </c>
      <c r="C130" s="12" t="n">
        <v>4656</v>
      </c>
    </row>
    <row r="131">
      <c r="A131" t="inlineStr">
        <is>
          <t xml:space="preserve">  Amortisation of purchased intangibles, total</t>
        </is>
      </c>
      <c r="B131" s="12" t="n">
        <v>167</v>
      </c>
      <c r="C131" s="12" t="n">
        <v>91</v>
      </c>
    </row>
    <row r="132">
      <c r="A132" t="inlineStr">
        <is>
          <t xml:space="preserve">  Goodwill impairment (Publishing &amp; Advertising)</t>
        </is>
      </c>
      <c r="B132" s="12" t="n">
        <v>0</v>
      </c>
      <c r="C132" s="12" t="n">
        <v>70</v>
      </c>
    </row>
    <row r="133">
      <c r="A133" t="inlineStr">
        <is>
          <t xml:space="preserve">  FTC/DOJ ROSCA loss contingency accrual</t>
        </is>
      </c>
      <c r="B133" s="12" t="n">
        <v>0</v>
      </c>
      <c r="C133" s="12" t="n">
        <v>92</v>
      </c>
    </row>
    <row r="134">
      <c r="A134" t="inlineStr">
        <is>
          <t xml:space="preserve">  Stock-based compensation</t>
        </is>
      </c>
      <c r="B134" s="12" t="n">
        <v>956</v>
      </c>
      <c r="C134" s="12" t="n">
        <v>1045</v>
      </c>
    </row>
    <row r="135">
      <c r="A135" t="inlineStr">
        <is>
          <t xml:space="preserve">  Diluted weighted-average shares (M)</t>
        </is>
      </c>
      <c r="B135" s="13" t="n">
        <v>433.2</v>
      </c>
      <c r="C135" s="13" t="n">
        <v>406.6</v>
      </c>
    </row>
  </sheetData>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M204"/>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1" customWidth="1" min="11" max="11"/>
    <col width="11" customWidth="1" min="12" max="12"/>
    <col width="100" customWidth="1" min="13" max="13"/>
  </cols>
  <sheetData>
    <row r="1">
      <c r="A1" s="1" t="inlineStr">
        <is>
          <t>Adobe Inc. (ADBE) — OWNERS' EARNINGS: HISTORICAL AND PROJECTED ($M)</t>
        </is>
      </c>
    </row>
    <row r="2">
      <c r="A2" s="2" t="inlineStr">
        <is>
          <t>Historical actuals (columns B-E) and the BASE-case forecast (columns F-J) are built on ONE identical construction, so the columns are directly comparable left to right. The other three scenarios run the same engine in §6 and are summarised in §7.</t>
        </is>
      </c>
    </row>
    <row r="3">
      <c r="A3" s="2" t="inlineStr">
        <is>
          <t>AMBER = judgment input (all on sheet 1)    BLUE = reported actual from a primary source    GREEN = headline output    white = formula</t>
        </is>
      </c>
    </row>
    <row r="4">
      <c r="A4" s="5" t="inlineStr">
        <is>
          <t>CONTENTS:  §1 The owners' earnings bridge (the answer)   |   §2 Supporting detail for the historical adjustments   |   §3 Reported income statement and the TTM build   |   §4 Customer-group revenue, the forecast's starting base   |   §5 Forecast build, BASE case   |   §6 The other three scenario engines   |   §7 Owners' earnings by scenario   |   §8 Checks</t>
        </is>
      </c>
    </row>
    <row r="6">
      <c r="A6" s="19" t="inlineStr">
        <is>
          <t>($M unless noted)</t>
        </is>
      </c>
      <c r="B6" s="22" t="inlineStr">
        <is>
          <t>FY2023A</t>
        </is>
      </c>
      <c r="C6" s="22" t="inlineStr">
        <is>
          <t>FY2024A</t>
        </is>
      </c>
      <c r="D6" s="22" t="inlineStr">
        <is>
          <t>FY2025A</t>
        </is>
      </c>
      <c r="E6" s="22" t="inlineStr">
        <is>
          <t>TTM Q2FY26</t>
        </is>
      </c>
      <c r="F6" s="22" t="inlineStr">
        <is>
          <t>FY2026E</t>
        </is>
      </c>
      <c r="G6" s="22" t="inlineStr">
        <is>
          <t>FY2027E</t>
        </is>
      </c>
      <c r="H6" s="22" t="inlineStr">
        <is>
          <t>FY2028E</t>
        </is>
      </c>
      <c r="I6" s="22" t="inlineStr">
        <is>
          <t>FY2029E</t>
        </is>
      </c>
      <c r="J6" s="22" t="inlineStr">
        <is>
          <t>FY2030E</t>
        </is>
      </c>
      <c r="K6" s="22" t="inlineStr">
        <is>
          <t>CAGR FY23-25</t>
        </is>
      </c>
      <c r="L6" s="22" t="inlineStr">
        <is>
          <t>CAGR FY25-30E</t>
        </is>
      </c>
      <c r="M6" s="19" t="inlineStr">
        <is>
          <t>Source / note</t>
        </is>
      </c>
    </row>
    <row r="7"/>
    <row r="8">
      <c r="A8" s="6" t="inlineStr">
        <is>
          <t>§1.  THE OWNERS' EARNINGS BRIDGE — HISTORICAL ACTUAL AND PROJECTED, SIDE BY SIDE</t>
        </is>
      </c>
      <c r="B8" s="6" t="n"/>
      <c r="C8" s="6" t="n"/>
      <c r="D8" s="6" t="n"/>
      <c r="E8" s="6" t="n"/>
      <c r="F8" s="6" t="n"/>
      <c r="G8" s="6" t="n"/>
      <c r="H8" s="6" t="n"/>
      <c r="I8" s="6" t="n"/>
      <c r="J8" s="6" t="n"/>
      <c r="K8" s="6" t="n"/>
      <c r="L8" s="6" t="n"/>
      <c r="M8" s="6" t="n"/>
    </row>
    <row r="9">
      <c r="A9" s="2" t="inlineStr">
        <is>
          <t>EBIT + non-recurring charges + purchased-intangible amortisation = EBITA;  + PP&amp;E depreciation − maintenance capex = pre-tax owners' earnings;  x (1 − normalised tax rate) = OWNERS' EARNINGS.   Stock-based compensation is deliberately NOT added back — it is a real cost to owners and stays inside EBIT (owners_earnings_and_roic.md §2.1).</t>
        </is>
      </c>
    </row>
    <row r="11">
      <c r="A11" s="9" t="inlineStr">
        <is>
          <t>TOTAL REVENUE  (memo)</t>
        </is>
      </c>
      <c r="B11" s="23">
        <f>B53</f>
        <v/>
      </c>
      <c r="C11" s="23">
        <f>C53</f>
        <v/>
      </c>
      <c r="D11" s="23">
        <f>D53</f>
        <v/>
      </c>
      <c r="E11" s="23">
        <f>E53</f>
        <v/>
      </c>
      <c r="F11" s="23">
        <f>F92</f>
        <v/>
      </c>
      <c r="G11" s="23">
        <f>G92</f>
        <v/>
      </c>
      <c r="H11" s="23">
        <f>H92</f>
        <v/>
      </c>
      <c r="I11" s="23">
        <f>I92</f>
        <v/>
      </c>
      <c r="J11" s="23">
        <f>J92</f>
        <v/>
      </c>
      <c r="K11" s="24">
        <f>IFERROR((D11/B11)^(1/2)-1,"")</f>
        <v/>
      </c>
      <c r="L11" s="24">
        <f>IFERROR((J11/D11)^(1/5)-1,"")</f>
        <v/>
      </c>
      <c r="M11" s="2" t="inlineStr">
        <is>
          <t>Historical from §3; forecast from §5. Shown here only to compute margins.</t>
        </is>
      </c>
    </row>
    <row r="13">
      <c r="A13" t="inlineStr">
        <is>
          <t>Operating income (EBIT)</t>
        </is>
      </c>
      <c r="B13" s="25">
        <f>B63</f>
        <v/>
      </c>
      <c r="C13" s="25">
        <f>C63</f>
        <v/>
      </c>
      <c r="D13" s="25">
        <f>D63</f>
        <v/>
      </c>
      <c r="E13" s="25">
        <f>E63</f>
        <v/>
      </c>
      <c r="F13" s="25">
        <f>F105-'1. Inputs'!F$53</f>
        <v/>
      </c>
      <c r="G13" s="25">
        <f>G105-'1. Inputs'!G$53</f>
        <v/>
      </c>
      <c r="H13" s="25">
        <f>H105-'1. Inputs'!H$53</f>
        <v/>
      </c>
      <c r="I13" s="25">
        <f>I105-'1. Inputs'!I$53</f>
        <v/>
      </c>
      <c r="J13" s="25">
        <f>J105-'1. Inputs'!J$53</f>
        <v/>
      </c>
      <c r="M13" s="2" t="inlineStr">
        <is>
          <t>Historical: as reported (§3). Forecast: DERIVED as driver-built EBITA (§5) less Adobe's own disclosed forward amortisation schedule (sheet 1 §E), which excludes future acquisitions and is therefore a floor on amortisation.</t>
        </is>
      </c>
    </row>
    <row r="14">
      <c r="A14" t="inlineStr">
        <is>
          <t>+ non-recurring charges booked in operating expenses</t>
        </is>
      </c>
      <c r="B14" s="25">
        <f>B40</f>
        <v/>
      </c>
      <c r="C14" s="25">
        <f>C40</f>
        <v/>
      </c>
      <c r="D14" s="25">
        <f>D40</f>
        <v/>
      </c>
      <c r="E14" s="25">
        <f>E40</f>
        <v/>
      </c>
      <c r="F14" s="25">
        <f>'1. Inputs'!F$54</f>
        <v/>
      </c>
      <c r="G14" s="25">
        <f>'1. Inputs'!G$54</f>
        <v/>
      </c>
      <c r="H14" s="25">
        <f>'1. Inputs'!H$54</f>
        <v/>
      </c>
      <c r="I14" s="25">
        <f>'1. Inputs'!I$54</f>
        <v/>
      </c>
      <c r="J14" s="25">
        <f>'1. Inputs'!J$54</f>
        <v/>
      </c>
      <c r="M14" s="2" t="inlineStr">
        <is>
          <t>Detail in §2. FY2024 $1,078M = $1,000M Figma termination fee + $78M lease impairments; TTM $162M = $70M goodwill impairment + $92M FTC loss contingency, both booked in 1H FY2026 so neither is rolled (owners_earnings_calcs.py §3).</t>
        </is>
      </c>
    </row>
    <row r="15">
      <c r="A15" t="inlineStr">
        <is>
          <t>+ amortisation of purchased intangibles</t>
        </is>
      </c>
      <c r="B15" s="12" t="n">
        <v>375</v>
      </c>
      <c r="C15" s="12" t="n">
        <v>336</v>
      </c>
      <c r="D15" s="12" t="n">
        <v>310</v>
      </c>
      <c r="E15" s="25">
        <f>D15-'1. Inputs'!$B$131+'1. Inputs'!$C$131</f>
        <v/>
      </c>
      <c r="F15" s="25">
        <f>'1. Inputs'!F$53</f>
        <v/>
      </c>
      <c r="G15" s="25">
        <f>'1. Inputs'!G$53</f>
        <v/>
      </c>
      <c r="H15" s="25">
        <f>'1. Inputs'!H$53</f>
        <v/>
      </c>
      <c r="I15" s="25">
        <f>'1. Inputs'!I$53</f>
        <v/>
      </c>
      <c r="J15" s="25">
        <f>'1. Inputs'!J$53</f>
        <v/>
      </c>
      <c r="M15" s="2" t="inlineStr">
        <is>
          <t>FY2025 10-K Note 8 / Q2 FY2026 10-Q Note 7. Added back because the acquired asset base is maintained by R&amp;D and S&amp;M that are already expensed inside EBIT, while the capital itself stays in invested capital.</t>
        </is>
      </c>
    </row>
    <row r="16">
      <c r="A16" s="9" t="inlineStr">
        <is>
          <t xml:space="preserve"> = EBITA</t>
        </is>
      </c>
      <c r="B16" s="16">
        <f>B13+B14+B15</f>
        <v/>
      </c>
      <c r="C16" s="16">
        <f>C13+C14+C15</f>
        <v/>
      </c>
      <c r="D16" s="16">
        <f>D13+D14+D15</f>
        <v/>
      </c>
      <c r="E16" s="16">
        <f>E13+E14+E15</f>
        <v/>
      </c>
      <c r="F16" s="16">
        <f>F13+F14+F15</f>
        <v/>
      </c>
      <c r="G16" s="16">
        <f>G13+G14+G15</f>
        <v/>
      </c>
      <c r="H16" s="16">
        <f>H13+H14+H15</f>
        <v/>
      </c>
      <c r="I16" s="16">
        <f>I13+I14+I15</f>
        <v/>
      </c>
      <c r="J16" s="16">
        <f>J13+J14+J15</f>
        <v/>
      </c>
      <c r="K16" s="26">
        <f>IFERROR((D16/B16)^(1/2)-1,"")</f>
        <v/>
      </c>
      <c r="L16" s="26">
        <f>IFERROR((J16/D16)^(1/5)-1,"")</f>
        <v/>
      </c>
      <c r="M16" s="2" t="inlineStr">
        <is>
          <t>Earnings before interest, tax and purchased-intangible amortisation — the basis owners' earnings is built on.</t>
        </is>
      </c>
    </row>
    <row r="17">
      <c r="A17" t="inlineStr">
        <is>
          <t xml:space="preserve">  EBITA margin</t>
        </is>
      </c>
      <c r="B17" s="27">
        <f>B16/B11</f>
        <v/>
      </c>
      <c r="C17" s="27">
        <f>C16/C11</f>
        <v/>
      </c>
      <c r="D17" s="27">
        <f>D16/D11</f>
        <v/>
      </c>
      <c r="E17" s="27">
        <f>E16/E11</f>
        <v/>
      </c>
      <c r="F17" s="27">
        <f>F16/F11</f>
        <v/>
      </c>
      <c r="G17" s="27">
        <f>G16/G11</f>
        <v/>
      </c>
      <c r="H17" s="27">
        <f>H16/H11</f>
        <v/>
      </c>
      <c r="I17" s="27">
        <f>I16/I11</f>
        <v/>
      </c>
      <c r="J17" s="27">
        <f>J16/J11</f>
        <v/>
      </c>
    </row>
    <row r="18">
      <c r="A18" t="inlineStr">
        <is>
          <t>+ PP&amp;E depreciation</t>
        </is>
      </c>
      <c r="B18" s="12" t="n">
        <v>235</v>
      </c>
      <c r="C18" s="12" t="n">
        <v>239</v>
      </c>
      <c r="D18" s="12" t="n">
        <v>236</v>
      </c>
      <c r="E18" s="12" t="n">
        <v>236</v>
      </c>
      <c r="F18" s="25">
        <f>$D18*(1+'1. Inputs'!$B$59)^1</f>
        <v/>
      </c>
      <c r="G18" s="25">
        <f>$D18*(1+'1. Inputs'!$B$59)^2</f>
        <v/>
      </c>
      <c r="H18" s="25">
        <f>$D18*(1+'1. Inputs'!$B$59)^3</f>
        <v/>
      </c>
      <c r="I18" s="25">
        <f>$D18*(1+'1. Inputs'!$B$59)^4</f>
        <v/>
      </c>
      <c r="J18" s="25">
        <f>$D18*(1+'1. Inputs'!$B$59)^5</f>
        <v/>
      </c>
      <c r="M18" s="2" t="inlineStr">
        <is>
          <t>FY2025 10-K Note 6. TTM is NOT rolled: depreciation is not separately disclosed in the 10-Q and net PP&amp;E is essentially unchanged ($1,873M -&gt; $1,870M), so FY2025's $236M is carried (owners_earnings_calcs.py §3).</t>
        </is>
      </c>
    </row>
    <row r="19">
      <c r="A19" t="inlineStr">
        <is>
          <t>− maintenance capex</t>
        </is>
      </c>
      <c r="B19" s="25">
        <f>-AVERAGE($B42:$D42)</f>
        <v/>
      </c>
      <c r="C19" s="25">
        <f>-AVERAGE($B42:$D42)</f>
        <v/>
      </c>
      <c r="D19" s="25">
        <f>-AVERAGE($B42:$D42)</f>
        <v/>
      </c>
      <c r="E19" s="25">
        <f>-AVERAGE($B42:$D42)</f>
        <v/>
      </c>
      <c r="F19" s="25">
        <f>-'1. Inputs'!$B$60*(1+'1. Inputs'!$B$61)^1</f>
        <v/>
      </c>
      <c r="G19" s="25">
        <f>-'1. Inputs'!$B$60*(1+'1. Inputs'!$B$61)^2</f>
        <v/>
      </c>
      <c r="H19" s="25">
        <f>-'1. Inputs'!$B$60*(1+'1. Inputs'!$B$61)^3</f>
        <v/>
      </c>
      <c r="I19" s="25">
        <f>-'1. Inputs'!$B$60*(1+'1. Inputs'!$B$61)^4</f>
        <v/>
      </c>
      <c r="J19" s="25">
        <f>-'1. Inputs'!$B$60*(1+'1. Inputs'!$B$61)^5</f>
        <v/>
      </c>
      <c r="M19" s="2" t="inlineStr">
        <is>
          <t>3-year average of ACTUAL capex FY2023-FY2025 (§2) = $240.7M, applied to every historical period; grown 5%/yr in the forecast off the rounded $241M base on sheet 1. owners_earnings_and_roic.md §2.2 — 'Using one year's depressed capex would flatter owners' earnings.'</t>
        </is>
      </c>
    </row>
    <row r="20">
      <c r="A20" s="9" t="inlineStr">
        <is>
          <t xml:space="preserve"> = pre-tax owners' earnings</t>
        </is>
      </c>
      <c r="B20" s="16">
        <f>B16+B18+B19</f>
        <v/>
      </c>
      <c r="C20" s="16">
        <f>C16+C18+C19</f>
        <v/>
      </c>
      <c r="D20" s="16">
        <f>D16+D18+D19</f>
        <v/>
      </c>
      <c r="E20" s="16">
        <f>E16+E18+E19</f>
        <v/>
      </c>
      <c r="F20" s="16">
        <f>F16+F18+F19</f>
        <v/>
      </c>
      <c r="G20" s="16">
        <f>G16+G18+G19</f>
        <v/>
      </c>
      <c r="H20" s="16">
        <f>H16+H18+H19</f>
        <v/>
      </c>
      <c r="I20" s="16">
        <f>I16+I18+I19</f>
        <v/>
      </c>
      <c r="J20" s="16">
        <f>J16+J18+J19</f>
        <v/>
      </c>
    </row>
    <row r="21">
      <c r="A21" t="inlineStr">
        <is>
          <t>− normalised tax</t>
        </is>
      </c>
      <c r="B21" s="25">
        <f>-B20*'1. Inputs'!$B$10</f>
        <v/>
      </c>
      <c r="C21" s="25">
        <f>-C20*'1. Inputs'!$B$10</f>
        <v/>
      </c>
      <c r="D21" s="25">
        <f>-D20*'1. Inputs'!$B$10</f>
        <v/>
      </c>
      <c r="E21" s="25">
        <f>-E20*'1. Inputs'!$B$10</f>
        <v/>
      </c>
      <c r="F21" s="25">
        <f>-F20*'1. Inputs'!$B$10</f>
        <v/>
      </c>
      <c r="G21" s="25">
        <f>-G20*'1. Inputs'!$B$10</f>
        <v/>
      </c>
      <c r="H21" s="25">
        <f>-H20*'1. Inputs'!$B$10</f>
        <v/>
      </c>
      <c r="I21" s="25">
        <f>-I20*'1. Inputs'!$B$10</f>
        <v/>
      </c>
      <c r="J21" s="25">
        <f>-J20*'1. Inputs'!$B$10</f>
        <v/>
      </c>
      <c r="M21" s="2" t="inlineStr">
        <is>
          <t>At the single normalised rate on sheet 1 §A (21%), applied identically to every period and every scenario.</t>
        </is>
      </c>
    </row>
    <row r="22">
      <c r="A22" s="28" t="inlineStr">
        <is>
          <t xml:space="preserve"> = OWNERS' EARNINGS</t>
        </is>
      </c>
      <c r="B22" s="29">
        <f>B20+B21</f>
        <v/>
      </c>
      <c r="C22" s="29">
        <f>C20+C21</f>
        <v/>
      </c>
      <c r="D22" s="29">
        <f>D20+D21</f>
        <v/>
      </c>
      <c r="E22" s="29">
        <f>E20+E21</f>
        <v/>
      </c>
      <c r="F22" s="29">
        <f>F20+F21</f>
        <v/>
      </c>
      <c r="G22" s="29">
        <f>G20+G21</f>
        <v/>
      </c>
      <c r="H22" s="29">
        <f>H20+H21</f>
        <v/>
      </c>
      <c r="I22" s="29">
        <f>I20+I21</f>
        <v/>
      </c>
      <c r="J22" s="29">
        <f>J20+J21</f>
        <v/>
      </c>
      <c r="K22" s="30">
        <f>IFERROR((D22/B22)^(1/2)-1,"")</f>
        <v/>
      </c>
      <c r="L22" s="30">
        <f>IFERROR((J22/D22)^(1/5)-1,"")</f>
        <v/>
      </c>
      <c r="M22" s="2" t="inlineStr">
        <is>
          <t>Method A, owners_earnings_and_roic.md §1-§2. Forecast columns are the BASE case; §7 shows all four scenarios.</t>
        </is>
      </c>
    </row>
    <row r="23">
      <c r="A23" t="inlineStr">
        <is>
          <t xml:space="preserve">  owners' earnings margin (% of revenue)</t>
        </is>
      </c>
      <c r="B23" s="27">
        <f>B22/B11</f>
        <v/>
      </c>
      <c r="C23" s="27">
        <f>C22/C11</f>
        <v/>
      </c>
      <c r="D23" s="27">
        <f>D22/D11</f>
        <v/>
      </c>
      <c r="E23" s="27">
        <f>E22/E11</f>
        <v/>
      </c>
      <c r="F23" s="27">
        <f>F22/F11</f>
        <v/>
      </c>
      <c r="G23" s="27">
        <f>G22/G11</f>
        <v/>
      </c>
      <c r="H23" s="27">
        <f>H22/H11</f>
        <v/>
      </c>
      <c r="I23" s="27">
        <f>I22/I11</f>
        <v/>
      </c>
      <c r="J23" s="27">
        <f>J22/J11</f>
        <v/>
      </c>
    </row>
    <row r="24">
      <c r="A24" t="inlineStr">
        <is>
          <t xml:space="preserve">  owners' earnings growth, year on year</t>
        </is>
      </c>
      <c r="C24" s="27">
        <f>C22/B22-1</f>
        <v/>
      </c>
      <c r="D24" s="27">
        <f>D22/C22-1</f>
        <v/>
      </c>
      <c r="F24" s="27">
        <f>F22/D22-1</f>
        <v/>
      </c>
      <c r="G24" s="27">
        <f>G22/F22-1</f>
        <v/>
      </c>
      <c r="H24" s="27">
        <f>H22/G22-1</f>
        <v/>
      </c>
      <c r="I24" s="27">
        <f>I22/H22-1</f>
        <v/>
      </c>
      <c r="J24" s="27">
        <f>J22/I22-1</f>
        <v/>
      </c>
      <c r="M24" s="2" t="inlineStr">
        <is>
          <t>No growth is shown for the TTM column: it overlaps FY2025 and is not a clean year-on-year comparison. FY2026E growth is struck off FY2025A.</t>
        </is>
      </c>
    </row>
    <row r="26">
      <c r="A26" s="2" t="inlineStr">
        <is>
          <t>NO forecast share count, buyback path or forecast owners' earnings per share is modelled anywhere in this workbook. Projecting them requires stacking three further judgment assumptions — a buyback payout ratio, a stock-based compensation ratio, and an assumed repurchase PRICE — and the price assumption is circular with the valuation the model is trying to produce. The valuation on sheet 3 uses TODAY's diluted share count of 399.1M throughout, per the brief (valuation.md §3), so none of it would change the answer. Adobe's actual buyback pace is shown below as history only.</t>
        </is>
      </c>
    </row>
    <row r="27">
      <c r="A27" t="inlineStr">
        <is>
          <t>memo: stock-based compensation (deducted inside EBIT, never added back)</t>
        </is>
      </c>
      <c r="B27" s="12" t="n">
        <v>1718</v>
      </c>
      <c r="C27" s="12" t="n">
        <v>1833</v>
      </c>
      <c r="D27" s="12" t="n">
        <v>1942</v>
      </c>
      <c r="E27" s="25">
        <f>D27-'1. Inputs'!$B$134+'1. Inputs'!$C$134</f>
        <v/>
      </c>
      <c r="M27" s="2" t="inlineStr">
        <is>
          <t>FY2025 10-K Note 12. Cross-checked against shares actually delivered: 4.8M shares at a ~$408 weighted-average grant-date fair value ~ $1,920M against the $1,942M GAAP charge, within ~1% (owners_earnings_and_roic.md §2.1).</t>
        </is>
      </c>
    </row>
    <row r="28">
      <c r="A28" t="inlineStr">
        <is>
          <t>memo: diluted shares (M) — HISTORICAL ONLY</t>
        </is>
      </c>
      <c r="B28" s="13" t="n">
        <v>459.1</v>
      </c>
      <c r="C28" s="13" t="n">
        <v>449.7</v>
      </c>
      <c r="D28" s="13" t="n">
        <v>427</v>
      </c>
      <c r="E28" s="31">
        <f>D28-'1. Inputs'!$B$135+'1. Inputs'!$C$135</f>
        <v/>
      </c>
      <c r="M28" s="2" t="inlineStr">
        <is>
          <t>owners_earnings_calcs.py §7. TTM uses the same TTM convention: 427.0 − 433.2 + 406.6 = 400.4M. NO forecast share count is modelled — see the note below.</t>
        </is>
      </c>
    </row>
    <row r="29">
      <c r="A29" s="9" t="inlineStr">
        <is>
          <t>memo: OWNERS' EARNINGS PER DILUTED SHARE — HISTORICAL ONLY</t>
        </is>
      </c>
      <c r="B29" s="32">
        <f>B22/B28</f>
        <v/>
      </c>
      <c r="C29" s="32">
        <f>C22/C28</f>
        <v/>
      </c>
      <c r="D29" s="32">
        <f>D22/D28</f>
        <v/>
      </c>
      <c r="E29" s="32">
        <f>E22/E28</f>
        <v/>
      </c>
      <c r="K29" s="24">
        <f>IFERROR((D29/B29)^(1/2)-1,"")</f>
        <v/>
      </c>
      <c r="M29" s="2" t="inlineStr">
        <is>
          <t>owners_earnings_and_roic.md §1: $12.08 / $14.32 / $16.67 / $18.71. Reported actuals divided by reported share counts — no assumption in them.</t>
        </is>
      </c>
    </row>
    <row r="30">
      <c r="A30" t="inlineStr">
        <is>
          <t>memo: buyback spend, ACTUAL — HISTORICAL ONLY</t>
        </is>
      </c>
      <c r="B30" s="12" t="n">
        <v>4400</v>
      </c>
      <c r="C30" s="12" t="n">
        <v>9500</v>
      </c>
      <c r="D30" s="12" t="n">
        <v>11281</v>
      </c>
      <c r="M30" s="2" t="inlineStr">
        <is>
          <t>owners_earnings_and_roic.md §5; 1H FY2026 spend was $4,589M. Shown as history, not extrapolated.</t>
        </is>
      </c>
    </row>
    <row r="31">
      <c r="A31" t="inlineStr">
        <is>
          <t xml:space="preserve">  actual buyback as a multiple of owners' earnings</t>
        </is>
      </c>
      <c r="B31" s="33">
        <f>B30/B22</f>
        <v/>
      </c>
      <c r="C31" s="33">
        <f>C30/C22</f>
        <v/>
      </c>
      <c r="D31" s="33">
        <f>D30/D22</f>
        <v/>
      </c>
      <c r="M31" s="2" t="inlineStr">
        <is>
          <t>Adobe repurchased at ~1.5-1.6x owners' earnings in FY2024-FY2025 — it spent more than it earned. terminal_value.md §9 flags that if that pace continues 'the equity bridge stops being immaterial'. That is a stated RISK to the sheet-3 bridge, not a modelled forecast.</t>
        </is>
      </c>
    </row>
    <row r="33">
      <c r="A33" s="6" t="inlineStr">
        <is>
          <t>§2.  SUPPORTING DETAIL FOR THE HISTORICAL OWNERS' EARNINGS ADJUSTMENTS</t>
        </is>
      </c>
      <c r="B33" s="6" t="n"/>
      <c r="C33" s="6" t="n"/>
      <c r="D33" s="6" t="n"/>
      <c r="E33" s="6" t="n"/>
      <c r="F33" s="6" t="n"/>
      <c r="G33" s="6" t="n"/>
      <c r="H33" s="6" t="n"/>
      <c r="I33" s="6" t="n"/>
      <c r="J33" s="6" t="n"/>
      <c r="K33" s="6" t="n"/>
      <c r="L33" s="6" t="n"/>
      <c r="M33" s="6" t="n"/>
    </row>
    <row r="34">
      <c r="A34" s="2" t="inlineStr">
        <is>
          <t>Every add-back used in §1, itemised and sourced. This is the audit trail for the historical bridge.</t>
        </is>
      </c>
    </row>
    <row r="36">
      <c r="A36" t="inlineStr">
        <is>
          <t>Figma acquisition termination fee</t>
        </is>
      </c>
      <c r="B36" s="25" t="n">
        <v>0</v>
      </c>
      <c r="C36" s="25">
        <f>C62</f>
        <v/>
      </c>
      <c r="D36" s="25" t="n">
        <v>0</v>
      </c>
      <c r="E36" s="25" t="n">
        <v>0</v>
      </c>
      <c r="M36" s="2" t="inlineStr">
        <is>
          <t>FY2024 one-off, $1,000M, disclosed on its own income-statement line (primary_sources/FY2025/md_and_a.md). Pulled from §3 so it cannot drift.</t>
        </is>
      </c>
    </row>
    <row r="37">
      <c r="A37" t="inlineStr">
        <is>
          <t>Lease-related asset impairments</t>
        </is>
      </c>
      <c r="B37" s="12" t="n">
        <v>0</v>
      </c>
      <c r="C37" s="12" t="n">
        <v>78</v>
      </c>
      <c r="D37" s="12" t="n">
        <v>0</v>
      </c>
      <c r="E37" s="12" t="n">
        <v>0</v>
      </c>
      <c r="M37" s="2" t="inlineStr">
        <is>
          <t>FY2024, $78M — FY2025 10-K cash-flow statement; Note 7 places the charge in G&amp;A. owners_earnings_and_roic.md §2.1.</t>
        </is>
      </c>
    </row>
    <row r="38">
      <c r="A38" t="inlineStr">
        <is>
          <t>Goodwill impairment, Publishing &amp; Advertising</t>
        </is>
      </c>
      <c r="B38" s="25" t="n">
        <v>0</v>
      </c>
      <c r="C38" s="25" t="n">
        <v>0</v>
      </c>
      <c r="D38" s="25" t="n">
        <v>0</v>
      </c>
      <c r="E38" s="25">
        <f>'1. Inputs'!$C$132</f>
        <v/>
      </c>
      <c r="M38" s="2" t="inlineStr">
        <is>
          <t>$70M, Q2 FY2026 10-Q Note 7. Booked in 1H FY2026, so it enters the TTM column directly and is NOT rolled through the FY25 − 1H25 + 1H26 formula.</t>
        </is>
      </c>
    </row>
    <row r="39">
      <c r="A39" t="inlineStr">
        <is>
          <t>FTC/DOJ ROSCA loss contingency accrual</t>
        </is>
      </c>
      <c r="B39" s="25" t="n">
        <v>0</v>
      </c>
      <c r="C39" s="25" t="n">
        <v>0</v>
      </c>
      <c r="D39" s="25" t="n">
        <v>0</v>
      </c>
      <c r="E39" s="25">
        <f>'1. Inputs'!$C$133</f>
        <v/>
      </c>
      <c r="M39" s="2" t="inlineStr">
        <is>
          <t>$92M, 1H FY2026. Same treatment as the goodwill impairment above.</t>
        </is>
      </c>
    </row>
    <row r="40">
      <c r="A40" s="9" t="inlineStr">
        <is>
          <t xml:space="preserve"> = total non-recurring charges added back in §1</t>
        </is>
      </c>
      <c r="B40" s="16">
        <f>SUM(B36:B39)</f>
        <v/>
      </c>
      <c r="C40" s="16">
        <f>SUM(C36:C39)</f>
        <v/>
      </c>
      <c r="D40" s="16">
        <f>SUM(D36:D39)</f>
        <v/>
      </c>
      <c r="E40" s="16">
        <f>SUM(E36:E39)</f>
        <v/>
      </c>
      <c r="M40" s="2" t="inlineStr">
        <is>
          <t>FY2023 $0M, FY2024 $1,078M, FY2025 $0M ('none in FY2025'), TTM $162M — owners_earnings_and_roic.md §2.1.</t>
        </is>
      </c>
    </row>
    <row r="42">
      <c r="A42" t="inlineStr">
        <is>
          <t>memo: capital expenditure, ACTUAL</t>
        </is>
      </c>
      <c r="B42" s="12" t="n">
        <v>360</v>
      </c>
      <c r="C42" s="12" t="n">
        <v>183</v>
      </c>
      <c r="D42" s="12" t="n">
        <v>179</v>
      </c>
      <c r="E42" s="12" t="n">
        <v>201</v>
      </c>
      <c r="M42" s="2" t="inlineStr">
        <is>
          <t>FY2025 10-K and Q2 FY2026 10-Q cash-flow statements. Net PP&amp;E has been SHRINKING ($1,936M -&gt; $1,873M -&gt; $1,870M), i.e. recent capex runs below depreciation — which is why a 3-year average, not the latest year, is used as maintenance capex.</t>
        </is>
      </c>
    </row>
    <row r="43">
      <c r="A43" t="inlineStr">
        <is>
          <t xml:space="preserve">  3-year average actual capex FY2023-FY2025 ( = maintenance capex applied to every historical period)</t>
        </is>
      </c>
      <c r="B43" s="34">
        <f>AVERAGE(B42:D42)</f>
        <v/>
      </c>
      <c r="M43" s="2" t="inlineStr">
        <is>
          <t>$240.667M. owners_earnings_and_roic.md §2.2 notes this 'lands within $5M of FY2025 depreciation, a useful independent confirmation that it is the right order of magnitude'. Sensitivity there: +/-$60M of capex moves owners' earnings by ~$47M after tax, ~0.6%.</t>
        </is>
      </c>
    </row>
    <row r="45">
      <c r="A45" s="2" t="inlineStr">
        <is>
          <t>NOT adjusted, deliberately: (a) stock-based compensation is a real cost to owners and stays inside EBIT; (b) the $6,821M of hosting purchase obligations are contracted OPERATING spend already flowing through cost of revenue as incurred, so adding a charge would double-count — they are instead treated as a debt-like item in the equity bridge on sheet 3; (c) the deferred-revenue float is not counted as earnings. owners_earnings_and_roic.md §2.1, §4.1.</t>
        </is>
      </c>
    </row>
    <row r="47">
      <c r="A47" s="6" t="inlineStr">
        <is>
          <t>§3.  REPORTED INCOME STATEMENT — THE SOURCE OF THE EBIT LINE IN §1</t>
        </is>
      </c>
      <c r="B47" s="6" t="n"/>
      <c r="C47" s="6" t="n"/>
      <c r="D47" s="6" t="n"/>
      <c r="E47" s="6" t="n"/>
      <c r="F47" s="6" t="n"/>
      <c r="G47" s="6" t="n"/>
      <c r="H47" s="6" t="n"/>
      <c r="I47" s="6" t="n"/>
      <c r="J47" s="6" t="n"/>
      <c r="K47" s="6" t="n"/>
      <c r="L47" s="6" t="n"/>
      <c r="M47" s="6" t="n"/>
    </row>
    <row r="48">
      <c r="A48" s="2" t="inlineStr">
        <is>
          <t>FY2023A-FY2025A as reported. The TTM Q2 FY2026 column is built as FY2025 − 1H FY2025 + 1H FY2026 from the interim actuals on sheet 1 §G.</t>
        </is>
      </c>
    </row>
    <row r="50">
      <c r="A50" t="inlineStr">
        <is>
          <t>Subscription revenue</t>
        </is>
      </c>
      <c r="B50" s="12" t="n">
        <v>18284</v>
      </c>
      <c r="C50" s="12" t="n">
        <v>20521</v>
      </c>
      <c r="D50" s="12" t="n">
        <v>22904</v>
      </c>
      <c r="E50" s="25">
        <f>D50-'1. Inputs'!$B$120+'1. Inputs'!$C$120</f>
        <v/>
      </c>
      <c r="M50" s="2" t="inlineStr">
        <is>
          <t>primary_sources/FY2025/financial_statements.md, Consolidated Statements of Income.</t>
        </is>
      </c>
    </row>
    <row r="51">
      <c r="A51" t="inlineStr">
        <is>
          <t>Product revenue</t>
        </is>
      </c>
      <c r="B51" s="12" t="n">
        <v>460</v>
      </c>
      <c r="C51" s="12" t="n">
        <v>386</v>
      </c>
      <c r="D51" s="12" t="n">
        <v>325</v>
      </c>
      <c r="E51" s="25">
        <f>D51-'1. Inputs'!$B$121+'1. Inputs'!$C$121</f>
        <v/>
      </c>
    </row>
    <row r="52">
      <c r="A52" t="inlineStr">
        <is>
          <t>Services and other revenue</t>
        </is>
      </c>
      <c r="B52" s="12" t="n">
        <v>665</v>
      </c>
      <c r="C52" s="12" t="n">
        <v>598</v>
      </c>
      <c r="D52" s="12" t="n">
        <v>540</v>
      </c>
      <c r="E52" s="25">
        <f>D52-'1. Inputs'!$B$122+'1. Inputs'!$C$122</f>
        <v/>
      </c>
    </row>
    <row r="53">
      <c r="A53" s="9" t="inlineStr">
        <is>
          <t>TOTAL REVENUE</t>
        </is>
      </c>
      <c r="B53" s="16">
        <f>B50+B51+B52</f>
        <v/>
      </c>
      <c r="C53" s="16">
        <f>C50+C51+C52</f>
        <v/>
      </c>
      <c r="D53" s="16">
        <f>D50+D51+D52</f>
        <v/>
      </c>
      <c r="E53" s="16">
        <f>E50+E51+E52</f>
        <v/>
      </c>
    </row>
    <row r="54">
      <c r="A54" t="inlineStr">
        <is>
          <t>Cost of subscription revenue</t>
        </is>
      </c>
      <c r="B54" s="12" t="n">
        <v>1822</v>
      </c>
      <c r="C54" s="12" t="n">
        <v>1799</v>
      </c>
      <c r="D54" s="12" t="n">
        <v>2027</v>
      </c>
      <c r="E54" s="25">
        <f>D54-'1. Inputs'!$B$123+'1. Inputs'!$C$123</f>
        <v/>
      </c>
    </row>
    <row r="55">
      <c r="A55" t="inlineStr">
        <is>
          <t>Cost of product revenue</t>
        </is>
      </c>
      <c r="B55" s="12" t="n">
        <v>29</v>
      </c>
      <c r="C55" s="12" t="n">
        <v>25</v>
      </c>
      <c r="D55" s="12" t="n">
        <v>23</v>
      </c>
      <c r="E55" s="25">
        <f>D55-'1. Inputs'!$B$124+'1. Inputs'!$C$124</f>
        <v/>
      </c>
    </row>
    <row r="56">
      <c r="A56" t="inlineStr">
        <is>
          <t>Cost of services and other revenue</t>
        </is>
      </c>
      <c r="B56" s="12" t="n">
        <v>503</v>
      </c>
      <c r="C56" s="12" t="n">
        <v>534</v>
      </c>
      <c r="D56" s="12" t="n">
        <v>501</v>
      </c>
      <c r="E56" s="25">
        <f>D56-'1. Inputs'!$B$125+'1. Inputs'!$C$125</f>
        <v/>
      </c>
    </row>
    <row r="57">
      <c r="A57" s="9" t="inlineStr">
        <is>
          <t>Gross profit</t>
        </is>
      </c>
      <c r="B57" s="16">
        <f>B53-B54-B55-B56</f>
        <v/>
      </c>
      <c r="C57" s="16">
        <f>C53-C54-C55-C56</f>
        <v/>
      </c>
      <c r="D57" s="16">
        <f>D53-D54-D55-D56</f>
        <v/>
      </c>
      <c r="E57" s="16">
        <f>E53-E54-E55-E56</f>
        <v/>
      </c>
    </row>
    <row r="58">
      <c r="A58" t="inlineStr">
        <is>
          <t>Research and development</t>
        </is>
      </c>
      <c r="B58" s="12" t="n">
        <v>3473</v>
      </c>
      <c r="C58" s="12" t="n">
        <v>3944</v>
      </c>
      <c r="D58" s="12" t="n">
        <v>4294</v>
      </c>
      <c r="E58" s="25">
        <f>D58-'1. Inputs'!$B$126+'1. Inputs'!$C$126</f>
        <v/>
      </c>
    </row>
    <row r="59">
      <c r="A59" t="inlineStr">
        <is>
          <t>Sales and marketing</t>
        </is>
      </c>
      <c r="B59" s="12" t="n">
        <v>5351</v>
      </c>
      <c r="C59" s="12" t="n">
        <v>5764</v>
      </c>
      <c r="D59" s="12" t="n">
        <v>6488</v>
      </c>
      <c r="E59" s="25">
        <f>D59-'1. Inputs'!$B$127+'1. Inputs'!$C$127</f>
        <v/>
      </c>
    </row>
    <row r="60">
      <c r="A60" t="inlineStr">
        <is>
          <t>General and administrative</t>
        </is>
      </c>
      <c r="B60" s="12" t="n">
        <v>1413</v>
      </c>
      <c r="C60" s="12" t="n">
        <v>1529</v>
      </c>
      <c r="D60" s="12" t="n">
        <v>1573</v>
      </c>
      <c r="E60" s="25">
        <f>D60-'1. Inputs'!$B$128+'1. Inputs'!$C$128</f>
        <v/>
      </c>
    </row>
    <row r="61">
      <c r="A61" t="inlineStr">
        <is>
          <t>Amortisation of intangibles (operating expense line)</t>
        </is>
      </c>
      <c r="B61" s="12" t="n">
        <v>168</v>
      </c>
      <c r="C61" s="12" t="n">
        <v>169</v>
      </c>
      <c r="D61" s="12" t="n">
        <v>157</v>
      </c>
      <c r="E61" s="25">
        <f>D61-'1. Inputs'!$B$129+'1. Inputs'!$C$129</f>
        <v/>
      </c>
    </row>
    <row r="62">
      <c r="A62" t="inlineStr">
        <is>
          <t>Figma acquisition termination fee</t>
        </is>
      </c>
      <c r="B62" s="12" t="n">
        <v>0</v>
      </c>
      <c r="C62" s="12" t="n">
        <v>1000</v>
      </c>
      <c r="D62" s="12" t="n">
        <v>0</v>
      </c>
      <c r="E62" s="12" t="n">
        <v>0</v>
      </c>
      <c r="M62" s="2" t="inlineStr">
        <is>
          <t>FY2024 one-off, $1,000M — primary_sources/FY2025/md_and_a.md.</t>
        </is>
      </c>
    </row>
    <row r="63">
      <c r="A63" s="9" t="inlineStr">
        <is>
          <t>OPERATING INCOME (EBIT)</t>
        </is>
      </c>
      <c r="B63" s="16">
        <f>B57-B58-B59-B60-B61-B62</f>
        <v/>
      </c>
      <c r="C63" s="16">
        <f>C57-C58-C59-C60-C61-C62</f>
        <v/>
      </c>
      <c r="D63" s="16">
        <f>D57-D58-D59-D60-D61-D62</f>
        <v/>
      </c>
      <c r="E63" s="16">
        <f>E57-E58-E59-E60-E61-E62</f>
        <v/>
      </c>
    </row>
    <row r="64">
      <c r="A64" t="inlineStr">
        <is>
          <t xml:space="preserve">  check: EBIT as reported in the 10-K / 10-Q</t>
        </is>
      </c>
      <c r="B64" s="12" t="n">
        <v>6650</v>
      </c>
      <c r="C64" s="12" t="n">
        <v>6741</v>
      </c>
      <c r="D64" s="12" t="n">
        <v>8706</v>
      </c>
      <c r="E64" s="25">
        <f>D64-'1. Inputs'!$B$130+'1. Inputs'!$C$130</f>
        <v/>
      </c>
      <c r="M64" s="2" t="inlineStr">
        <is>
          <t>The row above is built up from the individual revenue and expense lines; this is the figure Adobe reports. The difference must be zero.</t>
        </is>
      </c>
    </row>
    <row r="65">
      <c r="A65" t="inlineStr">
        <is>
          <t xml:space="preserve">  difference (must be 0)</t>
        </is>
      </c>
      <c r="B65" s="35">
        <f>B63-B64</f>
        <v/>
      </c>
      <c r="C65" s="35">
        <f>C63-C64</f>
        <v/>
      </c>
      <c r="D65" s="35">
        <f>D63-D64</f>
        <v/>
      </c>
      <c r="E65" s="35">
        <f>E63-E64</f>
        <v/>
      </c>
    </row>
    <row r="67">
      <c r="A67" s="6" t="inlineStr">
        <is>
          <t>§4.  CUSTOMER-GROUP SUBSCRIPTION REVENUE — THE FORECAST'S STARTING BASE</t>
        </is>
      </c>
      <c r="B67" s="6" t="n"/>
      <c r="C67" s="6" t="n"/>
      <c r="D67" s="6" t="n"/>
      <c r="E67" s="6" t="n"/>
      <c r="F67" s="6" t="n"/>
      <c r="G67" s="6" t="n"/>
      <c r="H67" s="6" t="n"/>
      <c r="I67" s="6" t="n"/>
      <c r="J67" s="6" t="n"/>
      <c r="K67" s="6" t="n"/>
      <c r="L67" s="6" t="n"/>
      <c r="M67" s="6" t="n"/>
    </row>
    <row r="69">
      <c r="A69" t="inlineStr">
        <is>
          <t>Creative &amp; Marketing Professionals subscription</t>
        </is>
      </c>
      <c r="B69" s="12" t="n">
        <v>13425</v>
      </c>
      <c r="C69" s="12" t="n">
        <v>14749</v>
      </c>
      <c r="D69" s="12" t="n">
        <v>16303</v>
      </c>
      <c r="M69" s="2" t="inlineStr">
        <is>
          <t>primary_sources/FY2025/md_and_a.md.</t>
        </is>
      </c>
    </row>
    <row r="70">
      <c r="A70" t="inlineStr">
        <is>
          <t>Business Professionals &amp; Consumers subscription (Acrobat/Express)</t>
        </is>
      </c>
      <c r="B70" s="12" t="n">
        <v>4744</v>
      </c>
      <c r="C70" s="12" t="n">
        <v>5662</v>
      </c>
      <c r="D70" s="12" t="n">
        <v>6495</v>
      </c>
      <c r="M70" s="2" t="inlineStr">
        <is>
          <t>primary_sources/FY2025/md_and_a.md.</t>
        </is>
      </c>
    </row>
    <row r="71">
      <c r="A71" t="inlineStr">
        <is>
          <t>Publishing &amp; Advertising subscription</t>
        </is>
      </c>
      <c r="B71" s="12" t="n">
        <v>115</v>
      </c>
      <c r="C71" s="12" t="n">
        <v>110</v>
      </c>
      <c r="D71" s="12" t="n">
        <v>106</v>
      </c>
      <c r="M71" s="2" t="inlineStr">
        <is>
          <t>primary_sources/FY2025/md_and_a.md.</t>
        </is>
      </c>
    </row>
    <row r="72">
      <c r="A72" t="inlineStr">
        <is>
          <t xml:space="preserve">  check: the three groups sum to total subscription revenue (difference must be 0)</t>
        </is>
      </c>
      <c r="B72" s="25">
        <f>B69+B70+B71-B50</f>
        <v/>
      </c>
      <c r="C72" s="25">
        <f>C69+C70+C71-C50</f>
        <v/>
      </c>
      <c r="D72" s="25">
        <f>D69+D70+D71-D50</f>
        <v/>
      </c>
    </row>
    <row r="73">
      <c r="A73" t="inlineStr">
        <is>
          <t>Digital Experience segment subscription revenue</t>
        </is>
      </c>
      <c r="B73" s="12" t="n">
        <v>4331</v>
      </c>
      <c r="C73" s="12" t="n">
        <v>4864</v>
      </c>
      <c r="D73" s="12" t="n">
        <v>5409</v>
      </c>
      <c r="M73" s="2" t="inlineStr">
        <is>
          <t>primary_sources/FY2025/md_and_a.md.</t>
        </is>
      </c>
    </row>
    <row r="74">
      <c r="A74" s="9" t="inlineStr">
        <is>
          <t>Creative flagship subscription (DERIVED = C&amp;MP − Digital Experience)</t>
        </is>
      </c>
      <c r="B74" s="16">
        <f>B69-B73</f>
        <v/>
      </c>
      <c r="C74" s="16">
        <f>C69-C73</f>
        <v/>
      </c>
      <c r="D74" s="16">
        <f>D69-D73</f>
        <v/>
      </c>
      <c r="M74" s="2" t="inlineStr">
        <is>
          <t>C&amp;MP is defined as the Digital Experience offerings PLUS the Creative Cloud flagship, so the Creative line is only obtainable by subtraction (forecast_earnings_calcs.py §0). Adobe does not disclose it directly.</t>
        </is>
      </c>
    </row>
    <row r="76">
      <c r="A76" s="6" t="inlineStr">
        <is>
          <t>§5.  FORECAST BUILD — BASE CASE.  Column D repeats the FY2025A anchor each driver is grown off, so the join between actual and forecast is visible.</t>
        </is>
      </c>
      <c r="B76" s="6" t="n"/>
      <c r="C76" s="6" t="n"/>
      <c r="D76" s="6" t="n"/>
      <c r="E76" s="6" t="n"/>
      <c r="F76" s="6" t="n"/>
      <c r="G76" s="6" t="n"/>
      <c r="H76" s="6" t="n"/>
      <c r="I76" s="6" t="n"/>
      <c r="J76" s="6" t="n"/>
      <c r="K76" s="6" t="n"/>
      <c r="L76" s="6" t="n"/>
      <c r="M76" s="6" t="n"/>
    </row>
    <row r="78">
      <c r="A78" s="19" t="inlineStr">
        <is>
          <t xml:space="preserve">  Revenue drivers</t>
        </is>
      </c>
      <c r="B78" s="19" t="n"/>
      <c r="C78" s="19" t="n"/>
      <c r="D78" s="19" t="n"/>
      <c r="E78" s="19" t="n"/>
      <c r="F78" s="19" t="n"/>
      <c r="G78" s="19" t="n"/>
      <c r="H78" s="19" t="n"/>
      <c r="I78" s="19" t="n"/>
      <c r="J78" s="19" t="n"/>
      <c r="K78" s="19" t="n"/>
      <c r="L78" s="19" t="n"/>
      <c r="M78" s="19" t="n"/>
    </row>
    <row r="79">
      <c r="A79" t="inlineStr">
        <is>
          <t>Acrobat/Express MAU exiting fiscal year (M)</t>
        </is>
      </c>
      <c r="C79" s="31">
        <f>D79/1.2</f>
        <v/>
      </c>
      <c r="D79" s="13" t="n">
        <v>750</v>
      </c>
      <c r="F79" s="31">
        <f>D79*(1+'1. Inputs'!F$93)</f>
        <v/>
      </c>
      <c r="G79" s="31">
        <f>F79*(1+'1. Inputs'!G$93)</f>
        <v/>
      </c>
      <c r="H79" s="31">
        <f>G79*(1+'1. Inputs'!H$93)</f>
        <v/>
      </c>
      <c r="I79" s="31">
        <f>H79*(1+'1. Inputs'!I$93)</f>
        <v/>
      </c>
      <c r="J79" s="31">
        <f>I79*(1+'1. Inputs'!J$93)</f>
        <v/>
      </c>
      <c r="M79" s="2" t="inlineStr">
        <is>
          <t>Q4 FY2025 call: MAU 'surpassed 750 million ... growing 20% year-over-year', so the FY2024 exit count is DERIVED as 750/1.20. causal_model.md Factor 1.1.</t>
        </is>
      </c>
    </row>
    <row r="80">
      <c r="A80" t="inlineStr">
        <is>
          <t xml:space="preserve">  MAU growth</t>
        </is>
      </c>
      <c r="D80" s="27">
        <f>D79/C79-1</f>
        <v/>
      </c>
      <c r="F80" s="27">
        <f>'1. Inputs'!F$93</f>
        <v/>
      </c>
      <c r="G80" s="27">
        <f>'1. Inputs'!G$93</f>
        <v/>
      </c>
      <c r="H80" s="27">
        <f>'1. Inputs'!H$93</f>
        <v/>
      </c>
      <c r="I80" s="27">
        <f>'1. Inputs'!I$93</f>
        <v/>
      </c>
      <c r="J80" s="27">
        <f>'1. Inputs'!J$93</f>
        <v/>
      </c>
    </row>
    <row r="81">
      <c r="A81" t="inlineStr">
        <is>
          <t>Average MAU (M)</t>
        </is>
      </c>
      <c r="D81" s="31">
        <f>(C79+D79)/2</f>
        <v/>
      </c>
      <c r="F81" s="31">
        <f>(D79+F79)/2</f>
        <v/>
      </c>
      <c r="G81" s="31">
        <f>(F79+G79)/2</f>
        <v/>
      </c>
      <c r="H81" s="31">
        <f>(G79+H79)/2</f>
        <v/>
      </c>
      <c r="I81" s="31">
        <f>(H79+I79)/2</f>
        <v/>
      </c>
      <c r="J81" s="31">
        <f>(I79+J79)/2</f>
        <v/>
      </c>
      <c r="M81" s="2" t="inlineStr">
        <is>
          <t>Revenue is earned across the year, so it is struck on the average of the opening and closing MAU count, not the exit count.</t>
        </is>
      </c>
    </row>
    <row r="82">
      <c r="A82" t="inlineStr">
        <is>
          <t>Revenue per average MAU ($/yr)</t>
        </is>
      </c>
      <c r="D82" s="36">
        <f>D70/D81</f>
        <v/>
      </c>
      <c r="F82" s="36">
        <f>D82*(1+'1. Inputs'!F$94)</f>
        <v/>
      </c>
      <c r="G82" s="36">
        <f>F82*(1+'1. Inputs'!G$94)</f>
        <v/>
      </c>
      <c r="H82" s="36">
        <f>G82*(1+'1. Inputs'!H$94)</f>
        <v/>
      </c>
      <c r="I82" s="36">
        <f>H82*(1+'1. Inputs'!I$94)</f>
        <v/>
      </c>
      <c r="J82" s="36">
        <f>I82*(1+'1. Inputs'!J$94)</f>
        <v/>
      </c>
      <c r="M82" s="2" t="inlineStr">
        <is>
          <t>The observable composite of free-to-paid conversion x price per paid seat. Adobe discloses NEITHER component, which is why forecast_earnings.md §3 flags this driver's confidence as LOW. It is the single largest swing factor in the BP&amp;C line.</t>
        </is>
      </c>
    </row>
    <row r="84">
      <c r="A84" t="inlineStr">
        <is>
          <t>BP&amp;C subscription revenue (Acrobat/Express)</t>
        </is>
      </c>
      <c r="D84" s="25">
        <f>D70</f>
        <v/>
      </c>
      <c r="F84" s="25">
        <f>F81*F82</f>
        <v/>
      </c>
      <c r="G84" s="25">
        <f>G81*G82</f>
        <v/>
      </c>
      <c r="H84" s="25">
        <f>H81*H82</f>
        <v/>
      </c>
      <c r="I84" s="25">
        <f>I81*I82</f>
        <v/>
      </c>
      <c r="J84" s="25">
        <f>J81*J82</f>
        <v/>
      </c>
    </row>
    <row r="85">
      <c r="A85" t="inlineStr">
        <is>
          <t>Creative subscription revenue</t>
        </is>
      </c>
      <c r="D85" s="25">
        <f>D74</f>
        <v/>
      </c>
      <c r="F85" s="25">
        <f>D85*(1+'1. Inputs'!F$95+'1. Inputs'!F$96+'1. Inputs'!F$50)</f>
        <v/>
      </c>
      <c r="G85" s="25">
        <f>F85*(1+'1. Inputs'!G$95+'1. Inputs'!G$96+'1. Inputs'!G$50)</f>
        <v/>
      </c>
      <c r="H85" s="25">
        <f>G85*(1+'1. Inputs'!H$95+'1. Inputs'!H$96+'1. Inputs'!H$50)</f>
        <v/>
      </c>
      <c r="I85" s="25">
        <f>H85*(1+'1. Inputs'!I$95+'1. Inputs'!I$96+'1. Inputs'!I$50)</f>
        <v/>
      </c>
      <c r="J85" s="25">
        <f>I85*(1+'1. Inputs'!J$95+'1. Inputs'!J$96+'1. Inputs'!J$50)</f>
        <v/>
      </c>
      <c r="M85" s="2" t="inlineStr">
        <is>
          <t>Grown by paid-unit volume + value-based price/tier mix + FX translation, the three drivers added rather than compounded (forecast_earnings.md §4).</t>
        </is>
      </c>
    </row>
    <row r="86">
      <c r="A86" t="inlineStr">
        <is>
          <t>Digital Experience subscription revenue</t>
        </is>
      </c>
      <c r="D86" s="25">
        <f>D73</f>
        <v/>
      </c>
      <c r="F86" s="25">
        <f>D86*(1+'1. Inputs'!F$97)</f>
        <v/>
      </c>
      <c r="G86" s="25">
        <f>F86*(1+'1. Inputs'!G$97)</f>
        <v/>
      </c>
      <c r="H86" s="25">
        <f>G86*(1+'1. Inputs'!H$97)</f>
        <v/>
      </c>
      <c r="I86" s="25">
        <f>H86*(1+'1. Inputs'!I$97)</f>
        <v/>
      </c>
      <c r="J86" s="25">
        <f>I86*(1+'1. Inputs'!J$97)</f>
        <v/>
      </c>
    </row>
    <row r="87">
      <c r="A87" t="inlineStr">
        <is>
          <t>Semrush revenue (acquisition closed April 2026)</t>
        </is>
      </c>
      <c r="D87" s="25" t="n">
        <v>0</v>
      </c>
      <c r="F87" s="25">
        <f>'1. Inputs'!F$51</f>
        <v/>
      </c>
      <c r="G87" s="25">
        <f>'1. Inputs'!G$51</f>
        <v/>
      </c>
      <c r="H87" s="25">
        <f>'1. Inputs'!H$51</f>
        <v/>
      </c>
      <c r="I87" s="25">
        <f>'1. Inputs'!I$51</f>
        <v/>
      </c>
      <c r="J87" s="25">
        <f>'1. Inputs'!J$51</f>
        <v/>
      </c>
      <c r="M87" s="2" t="inlineStr">
        <is>
          <t>Zero in FY2025 because the acquisition had not closed. primary_sources/2Q2026/md_and_a.md guides ~$280M of FY2026 contribution.</t>
        </is>
      </c>
    </row>
    <row r="88">
      <c r="A88" t="inlineStr">
        <is>
          <t>Publishing &amp; Advertising subscription revenue</t>
        </is>
      </c>
      <c r="D88" s="25">
        <f>D71</f>
        <v/>
      </c>
      <c r="F88" s="25">
        <f>D88*(1+'1. Inputs'!F$47)</f>
        <v/>
      </c>
      <c r="G88" s="25">
        <f>F88*(1+'1. Inputs'!G$47)</f>
        <v/>
      </c>
      <c r="H88" s="25">
        <f>G88*(1+'1. Inputs'!H$47)</f>
        <v/>
      </c>
      <c r="I88" s="25">
        <f>H88*(1+'1. Inputs'!I$47)</f>
        <v/>
      </c>
      <c r="J88" s="25">
        <f>I88*(1+'1. Inputs'!J$47)</f>
        <v/>
      </c>
    </row>
    <row r="89">
      <c r="A89" t="inlineStr">
        <is>
          <t>Product revenue</t>
        </is>
      </c>
      <c r="D89" s="25">
        <f>D51</f>
        <v/>
      </c>
      <c r="F89" s="25">
        <f>D89*(1+'1. Inputs'!F$48)</f>
        <v/>
      </c>
      <c r="G89" s="25">
        <f>F89*(1+'1. Inputs'!G$48)</f>
        <v/>
      </c>
      <c r="H89" s="25">
        <f>G89*(1+'1. Inputs'!H$48)</f>
        <v/>
      </c>
      <c r="I89" s="25">
        <f>H89*(1+'1. Inputs'!I$48)</f>
        <v/>
      </c>
      <c r="J89" s="25">
        <f>I89*(1+'1. Inputs'!J$48)</f>
        <v/>
      </c>
    </row>
    <row r="90">
      <c r="A90" t="inlineStr">
        <is>
          <t>Services and other revenue</t>
        </is>
      </c>
      <c r="D90" s="25">
        <f>D52</f>
        <v/>
      </c>
      <c r="F90" s="25">
        <f>D90*(1+'1. Inputs'!F$49)</f>
        <v/>
      </c>
      <c r="G90" s="25">
        <f>F90*(1+'1. Inputs'!G$49)</f>
        <v/>
      </c>
      <c r="H90" s="25">
        <f>G90*(1+'1. Inputs'!H$49)</f>
        <v/>
      </c>
      <c r="I90" s="25">
        <f>H90*(1+'1. Inputs'!I$49)</f>
        <v/>
      </c>
      <c r="J90" s="25">
        <f>I90*(1+'1. Inputs'!J$49)</f>
        <v/>
      </c>
    </row>
    <row r="91">
      <c r="A91" s="9" t="inlineStr">
        <is>
          <t>Total subscription revenue</t>
        </is>
      </c>
      <c r="D91" s="16">
        <f>D50</f>
        <v/>
      </c>
      <c r="F91" s="16">
        <f>F84+F85+F86+F87+F88</f>
        <v/>
      </c>
      <c r="G91" s="16">
        <f>G84+G85+G86+G87+G88</f>
        <v/>
      </c>
      <c r="H91" s="16">
        <f>H84+H85+H86+H87+H88</f>
        <v/>
      </c>
      <c r="I91" s="16">
        <f>I84+I85+I86+I87+I88</f>
        <v/>
      </c>
      <c r="J91" s="16">
        <f>J84+J85+J86+J87+J88</f>
        <v/>
      </c>
    </row>
    <row r="92">
      <c r="A92" s="9" t="inlineStr">
        <is>
          <t>TOTAL REVENUE</t>
        </is>
      </c>
      <c r="D92" s="16">
        <f>D53</f>
        <v/>
      </c>
      <c r="F92" s="16">
        <f>F91+F89+F90</f>
        <v/>
      </c>
      <c r="G92" s="16">
        <f>G91+G89+G90</f>
        <v/>
      </c>
      <c r="H92" s="16">
        <f>H91+H89+H90</f>
        <v/>
      </c>
      <c r="I92" s="16">
        <f>I91+I89+I90</f>
        <v/>
      </c>
      <c r="J92" s="16">
        <f>J91+J89+J90</f>
        <v/>
      </c>
    </row>
    <row r="93">
      <c r="A93" t="inlineStr">
        <is>
          <t xml:space="preserve">  total revenue growth</t>
        </is>
      </c>
      <c r="F93" s="27">
        <f>F92/D92-1</f>
        <v/>
      </c>
      <c r="G93" s="27">
        <f>G92/F92-1</f>
        <v/>
      </c>
      <c r="H93" s="27">
        <f>H92/G92-1</f>
        <v/>
      </c>
      <c r="I93" s="27">
        <f>I92/H92-1</f>
        <v/>
      </c>
      <c r="J93" s="27">
        <f>J92/I92-1</f>
        <v/>
      </c>
    </row>
    <row r="95">
      <c r="A95" s="19" t="inlineStr">
        <is>
          <t xml:space="preserve">  Cost drivers and EBITA  (EBITA = EBIT before purchased-intangible amortisation)</t>
        </is>
      </c>
      <c r="B95" s="19" t="n"/>
      <c r="C95" s="19" t="n"/>
      <c r="D95" s="19" t="n"/>
      <c r="E95" s="19" t="n"/>
      <c r="F95" s="19" t="n"/>
      <c r="G95" s="19" t="n"/>
      <c r="H95" s="19" t="n"/>
      <c r="I95" s="19" t="n"/>
      <c r="J95" s="19" t="n"/>
      <c r="K95" s="19" t="n"/>
      <c r="L95" s="19" t="n"/>
      <c r="M95" s="19" t="n"/>
    </row>
    <row r="96">
      <c r="A96" t="inlineStr">
        <is>
          <t>Subscription cost ratio, ex purchased-intangible amortisation</t>
        </is>
      </c>
      <c r="D96" s="37">
        <f>(D54-'1. Inputs'!$B$58)/D91</f>
        <v/>
      </c>
      <c r="F96" s="37">
        <f>D96+'1. Inputs'!F$98/10000</f>
        <v/>
      </c>
      <c r="G96" s="37">
        <f>F96+'1. Inputs'!G$98/10000</f>
        <v/>
      </c>
      <c r="H96" s="37">
        <f>G96+'1. Inputs'!H$98/10000</f>
        <v/>
      </c>
      <c r="I96" s="37">
        <f>H96+'1. Inputs'!I$98/10000</f>
        <v/>
      </c>
      <c r="J96" s="37">
        <f>I96+'1. Inputs'!J$98/10000</f>
        <v/>
      </c>
      <c r="M96" s="2" t="inlineStr">
        <is>
          <t>THE key cost finding: on this ex-amortisation basis the hosting / AI-inference cost ratio is deteriorating ~60bp/yr right now (forecast_earnings.md §6). The base case assumes that drift DECAYS from 72bp to 20bp/yr; the bear and severe cases assume it does not.</t>
        </is>
      </c>
    </row>
    <row r="97">
      <c r="A97" t="inlineStr">
        <is>
          <t>Cost of subscription revenue, ex-amortisation</t>
        </is>
      </c>
      <c r="D97" s="25">
        <f>D54-'1. Inputs'!$B$58</f>
        <v/>
      </c>
      <c r="F97" s="25">
        <f>F91*F96</f>
        <v/>
      </c>
      <c r="G97" s="25">
        <f>G91*G96</f>
        <v/>
      </c>
      <c r="H97" s="25">
        <f>H91*H96</f>
        <v/>
      </c>
      <c r="I97" s="25">
        <f>I91*I96</f>
        <v/>
      </c>
      <c r="J97" s="25">
        <f>J91*J96</f>
        <v/>
      </c>
    </row>
    <row r="98">
      <c r="A98" t="inlineStr">
        <is>
          <t>Cost of product revenue</t>
        </is>
      </c>
      <c r="D98" s="25">
        <f>D55</f>
        <v/>
      </c>
      <c r="F98" s="25">
        <f>F89*'1. Inputs'!$B$56</f>
        <v/>
      </c>
      <c r="G98" s="25">
        <f>G89*'1. Inputs'!$B$56</f>
        <v/>
      </c>
      <c r="H98" s="25">
        <f>H89*'1. Inputs'!$B$56</f>
        <v/>
      </c>
      <c r="I98" s="25">
        <f>I89*'1. Inputs'!$B$56</f>
        <v/>
      </c>
      <c r="J98" s="25">
        <f>J89*'1. Inputs'!$B$56</f>
        <v/>
      </c>
    </row>
    <row r="99">
      <c r="A99" t="inlineStr">
        <is>
          <t>Cost of services and other revenue</t>
        </is>
      </c>
      <c r="D99" s="25">
        <f>D56</f>
        <v/>
      </c>
      <c r="F99" s="25">
        <f>F90*'1. Inputs'!$B$57</f>
        <v/>
      </c>
      <c r="G99" s="25">
        <f>G90*'1. Inputs'!$B$57</f>
        <v/>
      </c>
      <c r="H99" s="25">
        <f>H90*'1. Inputs'!$B$57</f>
        <v/>
      </c>
      <c r="I99" s="25">
        <f>I90*'1. Inputs'!$B$57</f>
        <v/>
      </c>
      <c r="J99" s="25">
        <f>J90*'1. Inputs'!$B$57</f>
        <v/>
      </c>
    </row>
    <row r="100">
      <c r="A100" s="9" t="inlineStr">
        <is>
          <t>Gross profit, ex-amortisation</t>
        </is>
      </c>
      <c r="D100" s="16">
        <f>D92-D97-D98-D99</f>
        <v/>
      </c>
      <c r="F100" s="16">
        <f>F92-F97-F98-F99</f>
        <v/>
      </c>
      <c r="G100" s="16">
        <f>G92-G97-G98-G99</f>
        <v/>
      </c>
      <c r="H100" s="16">
        <f>H92-H97-H98-H99</f>
        <v/>
      </c>
      <c r="I100" s="16">
        <f>I92-I97-I98-I99</f>
        <v/>
      </c>
      <c r="J100" s="16">
        <f>J92-J97-J98-J99</f>
        <v/>
      </c>
    </row>
    <row r="101">
      <c r="A101" t="inlineStr">
        <is>
          <t>Advertising expense</t>
        </is>
      </c>
      <c r="B101" s="12" t="n">
        <v>970</v>
      </c>
      <c r="C101" s="12" t="n">
        <v>1040</v>
      </c>
      <c r="D101" s="12" t="n">
        <v>1370</v>
      </c>
      <c r="F101" s="25">
        <f>F92*'1. Inputs'!F$99</f>
        <v/>
      </c>
      <c r="G101" s="25">
        <f>G92*'1. Inputs'!G$99</f>
        <v/>
      </c>
      <c r="H101" s="25">
        <f>H92*'1. Inputs'!H$99</f>
        <v/>
      </c>
      <c r="I101" s="25">
        <f>I92*'1. Inputs'!I$99</f>
        <v/>
      </c>
      <c r="J101" s="25">
        <f>J92*'1. Inputs'!J$99</f>
        <v/>
      </c>
      <c r="M101" s="2" t="inlineStr">
        <is>
          <t>primary_sources/FY2025/financial_statements.md Note 1 — the freemium funnel spend, up 31.7% in FY2025. Split out of sales &amp; marketing because it is the cost of the MAU growth driver above.</t>
        </is>
      </c>
    </row>
    <row r="102">
      <c r="A102" t="inlineStr">
        <is>
          <t>Other sales &amp; marketing expense</t>
        </is>
      </c>
      <c r="D102" s="25">
        <f>D59-D101</f>
        <v/>
      </c>
      <c r="F102" s="25">
        <f>F92*'1. Inputs'!F$100</f>
        <v/>
      </c>
      <c r="G102" s="25">
        <f>G92*'1. Inputs'!G$100</f>
        <v/>
      </c>
      <c r="H102" s="25">
        <f>H92*'1. Inputs'!H$100</f>
        <v/>
      </c>
      <c r="I102" s="25">
        <f>I92*'1. Inputs'!I$100</f>
        <v/>
      </c>
      <c r="J102" s="25">
        <f>J92*'1. Inputs'!J$100</f>
        <v/>
      </c>
    </row>
    <row r="103">
      <c r="A103" t="inlineStr">
        <is>
          <t>Research and development</t>
        </is>
      </c>
      <c r="D103" s="25">
        <f>D58</f>
        <v/>
      </c>
      <c r="F103" s="25">
        <f>F92*'1. Inputs'!F$101</f>
        <v/>
      </c>
      <c r="G103" s="25">
        <f>G92*'1. Inputs'!G$101</f>
        <v/>
      </c>
      <c r="H103" s="25">
        <f>H92*'1. Inputs'!H$101</f>
        <v/>
      </c>
      <c r="I103" s="25">
        <f>I92*'1. Inputs'!I$101</f>
        <v/>
      </c>
      <c r="J103" s="25">
        <f>J92*'1. Inputs'!J$101</f>
        <v/>
      </c>
    </row>
    <row r="104">
      <c r="A104" t="inlineStr">
        <is>
          <t>General and administrative</t>
        </is>
      </c>
      <c r="D104" s="25">
        <f>D60</f>
        <v/>
      </c>
      <c r="F104" s="25">
        <f>F92*'1. Inputs'!F$102</f>
        <v/>
      </c>
      <c r="G104" s="25">
        <f>G92*'1. Inputs'!G$102</f>
        <v/>
      </c>
      <c r="H104" s="25">
        <f>H92*'1. Inputs'!H$102</f>
        <v/>
      </c>
      <c r="I104" s="25">
        <f>I92*'1. Inputs'!I$102</f>
        <v/>
      </c>
      <c r="J104" s="25">
        <f>J92*'1. Inputs'!J$102</f>
        <v/>
      </c>
    </row>
    <row r="105">
      <c r="A105" s="9" t="inlineStr">
        <is>
          <t>EBITA (driver-built)</t>
        </is>
      </c>
      <c r="D105" s="16">
        <f>D100-D101-D102-D103-D104</f>
        <v/>
      </c>
      <c r="F105" s="16">
        <f>F100-F101-F102-F103-F104</f>
        <v/>
      </c>
      <c r="G105" s="16">
        <f>G100-G101-G102-G103-G104</f>
        <v/>
      </c>
      <c r="H105" s="16">
        <f>H100-H101-H102-H103-H104</f>
        <v/>
      </c>
      <c r="I105" s="16">
        <f>I100-I101-I102-I103-I104</f>
        <v/>
      </c>
      <c r="J105" s="16">
        <f>J100-J101-J102-J103-J104</f>
        <v/>
      </c>
    </row>
    <row r="106">
      <c r="A106" t="inlineStr">
        <is>
          <t xml:space="preserve">  EBITA margin</t>
        </is>
      </c>
      <c r="D106" s="27">
        <f>D105/D92</f>
        <v/>
      </c>
      <c r="F106" s="27">
        <f>F105/F92</f>
        <v/>
      </c>
      <c r="G106" s="27">
        <f>G105/G92</f>
        <v/>
      </c>
      <c r="H106" s="27">
        <f>H105/H92</f>
        <v/>
      </c>
      <c r="I106" s="27">
        <f>I105/I92</f>
        <v/>
      </c>
      <c r="J106" s="27">
        <f>J105/J92</f>
        <v/>
      </c>
    </row>
    <row r="107">
      <c r="A107" t="inlineStr">
        <is>
          <t xml:space="preserve">  check: driver-built EBITA less the §1 bridge EBITA, FY2025A</t>
        </is>
      </c>
      <c r="D107" s="35">
        <f>D105-D16</f>
        <v/>
      </c>
      <c r="M107" s="2" t="inlineStr">
        <is>
          <t>FY2025 gap = −$2M, disclosed rather than hidden. Reported total purchased-intangible amortisation is $310M, but only $151M sits in cost of subscription and $157M in the amortisation opex line ($308M); ~$2M is inside other operating expense lines. The bridge anchors on the $310M add-back while the cost ratio is struck on the $151M figure — a 0.02% inconsistency carried over unchanged from forecast_earnings_calcs.py.</t>
        </is>
      </c>
    </row>
    <row r="109">
      <c r="A109" s="6" t="inlineStr">
        <is>
          <t>§6.  THE OTHER THREE SCENARIO ENGINES — identical construction to §5, run on each scenario's own drivers (sheet 1 §F)</t>
        </is>
      </c>
      <c r="B109" s="6" t="n"/>
      <c r="C109" s="6" t="n"/>
      <c r="D109" s="6" t="n"/>
      <c r="E109" s="6" t="n"/>
      <c r="F109" s="6" t="n"/>
      <c r="G109" s="6" t="n"/>
      <c r="H109" s="6" t="n"/>
      <c r="I109" s="6" t="n"/>
      <c r="J109" s="6" t="n"/>
      <c r="K109" s="6" t="n"/>
      <c r="L109" s="6" t="n"/>
      <c r="M109" s="6" t="n"/>
    </row>
    <row r="110">
      <c r="A110" s="2" t="inlineStr">
        <is>
          <t>Shared lines (Publishing &amp; Advertising, product, services, depreciation, maintenance capex, tax) are pulled from the base build rather than re-derived, so a change there propagates to every scenario.</t>
        </is>
      </c>
    </row>
    <row r="112">
      <c r="A112" s="19" t="inlineStr">
        <is>
          <t xml:space="preserve">  SEVERE  —  Generative AI SUBSTITUTES Adobe's creative workflows (as it did Adobe Stock); Adobe defends with price cuts and more advertising.</t>
        </is>
      </c>
      <c r="B112" s="19" t="n"/>
      <c r="C112" s="19" t="n"/>
      <c r="D112" s="19" t="n"/>
      <c r="E112" s="19" t="n"/>
      <c r="F112" s="19" t="n"/>
      <c r="G112" s="19" t="n"/>
      <c r="H112" s="19" t="n"/>
      <c r="I112" s="19" t="n"/>
      <c r="J112" s="19" t="n"/>
      <c r="K112" s="19" t="n"/>
      <c r="L112" s="19" t="n"/>
      <c r="M112" s="19" t="n"/>
    </row>
    <row r="113">
      <c r="A113" t="inlineStr">
        <is>
          <t>MAU exiting year (M)</t>
        </is>
      </c>
      <c r="F113" s="31">
        <f>$D79*(1+'1. Inputs'!F$67)</f>
        <v/>
      </c>
      <c r="G113" s="31">
        <f>F113*(1+'1. Inputs'!G$67)</f>
        <v/>
      </c>
      <c r="H113" s="31">
        <f>G113*(1+'1. Inputs'!H$67)</f>
        <v/>
      </c>
      <c r="I113" s="31">
        <f>H113*(1+'1. Inputs'!I$67)</f>
        <v/>
      </c>
      <c r="J113" s="31">
        <f>I113*(1+'1. Inputs'!J$67)</f>
        <v/>
      </c>
    </row>
    <row r="114">
      <c r="A114" t="inlineStr">
        <is>
          <t>Average MAU (M)</t>
        </is>
      </c>
      <c r="F114" s="31">
        <f>($D79+F113)/2</f>
        <v/>
      </c>
      <c r="G114" s="31">
        <f>(F113+G113)/2</f>
        <v/>
      </c>
      <c r="H114" s="31">
        <f>(G113+H113)/2</f>
        <v/>
      </c>
      <c r="I114" s="31">
        <f>(H113+I113)/2</f>
        <v/>
      </c>
      <c r="J114" s="31">
        <f>(I113+J113)/2</f>
        <v/>
      </c>
    </row>
    <row r="115">
      <c r="A115" t="inlineStr">
        <is>
          <t>Revenue per average MAU ($/yr)</t>
        </is>
      </c>
      <c r="F115" s="36">
        <f>$D82*(1+'1. Inputs'!F$68)</f>
        <v/>
      </c>
      <c r="G115" s="36">
        <f>F115*(1+'1. Inputs'!G$68)</f>
        <v/>
      </c>
      <c r="H115" s="36">
        <f>G115*(1+'1. Inputs'!H$68)</f>
        <v/>
      </c>
      <c r="I115" s="36">
        <f>H115*(1+'1. Inputs'!I$68)</f>
        <v/>
      </c>
      <c r="J115" s="36">
        <f>I115*(1+'1. Inputs'!J$68)</f>
        <v/>
      </c>
    </row>
    <row r="116">
      <c r="A116" t="inlineStr">
        <is>
          <t>BP&amp;C subscription revenue</t>
        </is>
      </c>
      <c r="F116" s="25">
        <f>F114*F115</f>
        <v/>
      </c>
      <c r="G116" s="25">
        <f>G114*G115</f>
        <v/>
      </c>
      <c r="H116" s="25">
        <f>H114*H115</f>
        <v/>
      </c>
      <c r="I116" s="25">
        <f>I114*I115</f>
        <v/>
      </c>
      <c r="J116" s="25">
        <f>J114*J115</f>
        <v/>
      </c>
    </row>
    <row r="117">
      <c r="A117" t="inlineStr">
        <is>
          <t>Creative subscription revenue</t>
        </is>
      </c>
      <c r="F117" s="25">
        <f>$D85*(1+'1. Inputs'!F$69+'1. Inputs'!F$70+'1. Inputs'!F$50)</f>
        <v/>
      </c>
      <c r="G117" s="25">
        <f>F117*(1+'1. Inputs'!G$69+'1. Inputs'!G$70+'1. Inputs'!G$50)</f>
        <v/>
      </c>
      <c r="H117" s="25">
        <f>G117*(1+'1. Inputs'!H$69+'1. Inputs'!H$70+'1. Inputs'!H$50)</f>
        <v/>
      </c>
      <c r="I117" s="25">
        <f>H117*(1+'1. Inputs'!I$69+'1. Inputs'!I$70+'1. Inputs'!I$50)</f>
        <v/>
      </c>
      <c r="J117" s="25">
        <f>I117*(1+'1. Inputs'!J$69+'1. Inputs'!J$70+'1. Inputs'!J$50)</f>
        <v/>
      </c>
    </row>
    <row r="118">
      <c r="A118" t="inlineStr">
        <is>
          <t>Digital Experience subscription revenue</t>
        </is>
      </c>
      <c r="F118" s="25">
        <f>$D86*(1+'1. Inputs'!F$71)</f>
        <v/>
      </c>
      <c r="G118" s="25">
        <f>F118*(1+'1. Inputs'!G$71)</f>
        <v/>
      </c>
      <c r="H118" s="25">
        <f>G118*(1+'1. Inputs'!H$71)</f>
        <v/>
      </c>
      <c r="I118" s="25">
        <f>H118*(1+'1. Inputs'!I$71)</f>
        <v/>
      </c>
      <c r="J118" s="25">
        <f>I118*(1+'1. Inputs'!J$71)</f>
        <v/>
      </c>
    </row>
    <row r="119">
      <c r="A119" t="inlineStr">
        <is>
          <t>Semrush revenue</t>
        </is>
      </c>
      <c r="F119" s="25">
        <f>'1. Inputs'!F$52</f>
        <v/>
      </c>
      <c r="G119" s="25">
        <f>'1. Inputs'!G$52</f>
        <v/>
      </c>
      <c r="H119" s="25">
        <f>'1. Inputs'!H$52</f>
        <v/>
      </c>
      <c r="I119" s="25">
        <f>'1. Inputs'!I$52</f>
        <v/>
      </c>
      <c r="J119" s="25">
        <f>'1. Inputs'!J$52</f>
        <v/>
      </c>
      <c r="M119" s="2" t="inlineStr">
        <is>
          <t>SEVERE takes the lower override path on sheet 1 §E (forecast_earnings_calcs.py §9).</t>
        </is>
      </c>
    </row>
    <row r="120">
      <c r="A120" t="inlineStr">
        <is>
          <t>Publishing &amp; Advertising subscription revenue (shared)</t>
        </is>
      </c>
      <c r="F120" s="25">
        <f>F88</f>
        <v/>
      </c>
      <c r="G120" s="25">
        <f>G88</f>
        <v/>
      </c>
      <c r="H120" s="25">
        <f>H88</f>
        <v/>
      </c>
      <c r="I120" s="25">
        <f>I88</f>
        <v/>
      </c>
      <c r="J120" s="25">
        <f>J88</f>
        <v/>
      </c>
    </row>
    <row r="121">
      <c r="A121" t="inlineStr">
        <is>
          <t>Product revenue (shared)</t>
        </is>
      </c>
      <c r="F121" s="25">
        <f>F89</f>
        <v/>
      </c>
      <c r="G121" s="25">
        <f>G89</f>
        <v/>
      </c>
      <c r="H121" s="25">
        <f>H89</f>
        <v/>
      </c>
      <c r="I121" s="25">
        <f>I89</f>
        <v/>
      </c>
      <c r="J121" s="25">
        <f>J89</f>
        <v/>
      </c>
    </row>
    <row r="122">
      <c r="A122" t="inlineStr">
        <is>
          <t>Services and other revenue (shared)</t>
        </is>
      </c>
      <c r="F122" s="25">
        <f>F90</f>
        <v/>
      </c>
      <c r="G122" s="25">
        <f>G90</f>
        <v/>
      </c>
      <c r="H122" s="25">
        <f>H90</f>
        <v/>
      </c>
      <c r="I122" s="25">
        <f>I90</f>
        <v/>
      </c>
      <c r="J122" s="25">
        <f>J90</f>
        <v/>
      </c>
    </row>
    <row r="123">
      <c r="A123" s="9" t="inlineStr">
        <is>
          <t>Total subscription revenue</t>
        </is>
      </c>
      <c r="F123" s="16">
        <f>F116+F117+F118+F119+F120</f>
        <v/>
      </c>
      <c r="G123" s="16">
        <f>G116+G117+G118+G119+G120</f>
        <v/>
      </c>
      <c r="H123" s="16">
        <f>H116+H117+H118+H119+H120</f>
        <v/>
      </c>
      <c r="I123" s="16">
        <f>I116+I117+I118+I119+I120</f>
        <v/>
      </c>
      <c r="J123" s="16">
        <f>J116+J117+J118+J119+J120</f>
        <v/>
      </c>
    </row>
    <row r="124">
      <c r="A124" s="9" t="inlineStr">
        <is>
          <t>TOTAL REVENUE</t>
        </is>
      </c>
      <c r="F124" s="16">
        <f>F123+F121+F122</f>
        <v/>
      </c>
      <c r="G124" s="16">
        <f>G123+G121+G122</f>
        <v/>
      </c>
      <c r="H124" s="16">
        <f>H123+H121+H122</f>
        <v/>
      </c>
      <c r="I124" s="16">
        <f>I123+I121+I122</f>
        <v/>
      </c>
      <c r="J124" s="16">
        <f>J123+J121+J122</f>
        <v/>
      </c>
    </row>
    <row r="125">
      <c r="A125" t="inlineStr">
        <is>
          <t>Subscription cost ratio, ex-amortisation</t>
        </is>
      </c>
      <c r="F125" s="37">
        <f>$D96+'1. Inputs'!F$72/10000</f>
        <v/>
      </c>
      <c r="G125" s="37">
        <f>F125+'1. Inputs'!G$72/10000</f>
        <v/>
      </c>
      <c r="H125" s="37">
        <f>G125+'1. Inputs'!H$72/10000</f>
        <v/>
      </c>
      <c r="I125" s="37">
        <f>H125+'1. Inputs'!I$72/10000</f>
        <v/>
      </c>
      <c r="J125" s="37">
        <f>I125+'1. Inputs'!J$72/10000</f>
        <v/>
      </c>
    </row>
    <row r="126">
      <c r="A126" t="inlineStr">
        <is>
          <t>Gross profit, ex-amortisation</t>
        </is>
      </c>
      <c r="F126" s="25">
        <f>F124-F123*F125-F121*'1. Inputs'!$B$56-F122*'1. Inputs'!$B$57</f>
        <v/>
      </c>
      <c r="G126" s="25">
        <f>G124-G123*G125-G121*'1. Inputs'!$B$56-G122*'1. Inputs'!$B$57</f>
        <v/>
      </c>
      <c r="H126" s="25">
        <f>H124-H123*H125-H121*'1. Inputs'!$B$56-H122*'1. Inputs'!$B$57</f>
        <v/>
      </c>
      <c r="I126" s="25">
        <f>I124-I123*I125-I121*'1. Inputs'!$B$56-I122*'1. Inputs'!$B$57</f>
        <v/>
      </c>
      <c r="J126" s="25">
        <f>J124-J123*J125-J121*'1. Inputs'!$B$56-J122*'1. Inputs'!$B$57</f>
        <v/>
      </c>
    </row>
    <row r="127">
      <c r="A127" s="9" t="inlineStr">
        <is>
          <t>EBITA</t>
        </is>
      </c>
      <c r="F127" s="16">
        <f>F126-F124*('1. Inputs'!F$73+'1. Inputs'!F$74+'1. Inputs'!F$75+'1. Inputs'!F$76)</f>
        <v/>
      </c>
      <c r="G127" s="16">
        <f>G126-G124*('1. Inputs'!G$73+'1. Inputs'!G$74+'1. Inputs'!G$75+'1. Inputs'!G$76)</f>
        <v/>
      </c>
      <c r="H127" s="16">
        <f>H126-H124*('1. Inputs'!H$73+'1. Inputs'!H$74+'1. Inputs'!H$75+'1. Inputs'!H$76)</f>
        <v/>
      </c>
      <c r="I127" s="16">
        <f>I126-I124*('1. Inputs'!I$73+'1. Inputs'!I$74+'1. Inputs'!I$75+'1. Inputs'!I$76)</f>
        <v/>
      </c>
      <c r="J127" s="16">
        <f>J126-J124*('1. Inputs'!J$73+'1. Inputs'!J$74+'1. Inputs'!J$75+'1. Inputs'!J$76)</f>
        <v/>
      </c>
    </row>
    <row r="128">
      <c r="A128" t="inlineStr">
        <is>
          <t>+ PP&amp;E depreciation (shared)</t>
        </is>
      </c>
      <c r="F128" s="25">
        <f>F18</f>
        <v/>
      </c>
      <c r="G128" s="25">
        <f>G18</f>
        <v/>
      </c>
      <c r="H128" s="25">
        <f>H18</f>
        <v/>
      </c>
      <c r="I128" s="25">
        <f>I18</f>
        <v/>
      </c>
      <c r="J128" s="25">
        <f>J18</f>
        <v/>
      </c>
    </row>
    <row r="129">
      <c r="A129" t="inlineStr">
        <is>
          <t>− maintenance capex (shared)</t>
        </is>
      </c>
      <c r="F129" s="25">
        <f>F19</f>
        <v/>
      </c>
      <c r="G129" s="25">
        <f>G19</f>
        <v/>
      </c>
      <c r="H129" s="25">
        <f>H19</f>
        <v/>
      </c>
      <c r="I129" s="25">
        <f>I19</f>
        <v/>
      </c>
      <c r="J129" s="25">
        <f>J19</f>
        <v/>
      </c>
    </row>
    <row r="130">
      <c r="A130" s="9" t="inlineStr">
        <is>
          <t xml:space="preserve"> = pre-tax owners' earnings</t>
        </is>
      </c>
      <c r="F130" s="16">
        <f>F127+F128+F129</f>
        <v/>
      </c>
      <c r="G130" s="16">
        <f>G127+G128+G129</f>
        <v/>
      </c>
      <c r="H130" s="16">
        <f>H127+H128+H129</f>
        <v/>
      </c>
      <c r="I130" s="16">
        <f>I127+I128+I129</f>
        <v/>
      </c>
      <c r="J130" s="16">
        <f>J127+J128+J129</f>
        <v/>
      </c>
    </row>
    <row r="131">
      <c r="A131" s="9" t="inlineStr">
        <is>
          <t xml:space="preserve"> = OWNERS' EARNINGS</t>
        </is>
      </c>
      <c r="F131" s="38">
        <f>F130*(1-'1. Inputs'!$B$10)</f>
        <v/>
      </c>
      <c r="G131" s="38">
        <f>G130*(1-'1. Inputs'!$B$10)</f>
        <v/>
      </c>
      <c r="H131" s="38">
        <f>H130*(1-'1. Inputs'!$B$10)</f>
        <v/>
      </c>
      <c r="I131" s="38">
        <f>I130*(1-'1. Inputs'!$B$10)</f>
        <v/>
      </c>
      <c r="J131" s="38">
        <f>J130*(1-'1. Inputs'!$B$10)</f>
        <v/>
      </c>
    </row>
    <row r="133">
      <c r="A133" s="19" t="inlineStr">
        <is>
          <t xml:space="preserve">  BEAR  —  AI substitution bites Creative, freemium advertising never comes down, inference cost keeps compounding, BP&amp;C monetisation keeps eroding.</t>
        </is>
      </c>
      <c r="B133" s="19" t="n"/>
      <c r="C133" s="19" t="n"/>
      <c r="D133" s="19" t="n"/>
      <c r="E133" s="19" t="n"/>
      <c r="F133" s="19" t="n"/>
      <c r="G133" s="19" t="n"/>
      <c r="H133" s="19" t="n"/>
      <c r="I133" s="19" t="n"/>
      <c r="J133" s="19" t="n"/>
      <c r="K133" s="19" t="n"/>
      <c r="L133" s="19" t="n"/>
      <c r="M133" s="19" t="n"/>
    </row>
    <row r="134">
      <c r="A134" t="inlineStr">
        <is>
          <t>MAU exiting year (M)</t>
        </is>
      </c>
      <c r="F134" s="31">
        <f>$D79*(1+'1. Inputs'!F$80)</f>
        <v/>
      </c>
      <c r="G134" s="31">
        <f>F134*(1+'1. Inputs'!G$80)</f>
        <v/>
      </c>
      <c r="H134" s="31">
        <f>G134*(1+'1. Inputs'!H$80)</f>
        <v/>
      </c>
      <c r="I134" s="31">
        <f>H134*(1+'1. Inputs'!I$80)</f>
        <v/>
      </c>
      <c r="J134" s="31">
        <f>I134*(1+'1. Inputs'!J$80)</f>
        <v/>
      </c>
    </row>
    <row r="135">
      <c r="A135" t="inlineStr">
        <is>
          <t>Average MAU (M)</t>
        </is>
      </c>
      <c r="F135" s="31">
        <f>($D79+F134)/2</f>
        <v/>
      </c>
      <c r="G135" s="31">
        <f>(F134+G134)/2</f>
        <v/>
      </c>
      <c r="H135" s="31">
        <f>(G134+H134)/2</f>
        <v/>
      </c>
      <c r="I135" s="31">
        <f>(H134+I134)/2</f>
        <v/>
      </c>
      <c r="J135" s="31">
        <f>(I134+J134)/2</f>
        <v/>
      </c>
    </row>
    <row r="136">
      <c r="A136" t="inlineStr">
        <is>
          <t>Revenue per average MAU ($/yr)</t>
        </is>
      </c>
      <c r="F136" s="36">
        <f>$D82*(1+'1. Inputs'!F$81)</f>
        <v/>
      </c>
      <c r="G136" s="36">
        <f>F136*(1+'1. Inputs'!G$81)</f>
        <v/>
      </c>
      <c r="H136" s="36">
        <f>G136*(1+'1. Inputs'!H$81)</f>
        <v/>
      </c>
      <c r="I136" s="36">
        <f>H136*(1+'1. Inputs'!I$81)</f>
        <v/>
      </c>
      <c r="J136" s="36">
        <f>I136*(1+'1. Inputs'!J$81)</f>
        <v/>
      </c>
    </row>
    <row r="137">
      <c r="A137" t="inlineStr">
        <is>
          <t>BP&amp;C subscription revenue</t>
        </is>
      </c>
      <c r="F137" s="25">
        <f>F135*F136</f>
        <v/>
      </c>
      <c r="G137" s="25">
        <f>G135*G136</f>
        <v/>
      </c>
      <c r="H137" s="25">
        <f>H135*H136</f>
        <v/>
      </c>
      <c r="I137" s="25">
        <f>I135*I136</f>
        <v/>
      </c>
      <c r="J137" s="25">
        <f>J135*J136</f>
        <v/>
      </c>
    </row>
    <row r="138">
      <c r="A138" t="inlineStr">
        <is>
          <t>Creative subscription revenue</t>
        </is>
      </c>
      <c r="F138" s="25">
        <f>$D85*(1+'1. Inputs'!F$82+'1. Inputs'!F$83+'1. Inputs'!F$50)</f>
        <v/>
      </c>
      <c r="G138" s="25">
        <f>F138*(1+'1. Inputs'!G$82+'1. Inputs'!G$83+'1. Inputs'!G$50)</f>
        <v/>
      </c>
      <c r="H138" s="25">
        <f>G138*(1+'1. Inputs'!H$82+'1. Inputs'!H$83+'1. Inputs'!H$50)</f>
        <v/>
      </c>
      <c r="I138" s="25">
        <f>H138*(1+'1. Inputs'!I$82+'1. Inputs'!I$83+'1. Inputs'!I$50)</f>
        <v/>
      </c>
      <c r="J138" s="25">
        <f>I138*(1+'1. Inputs'!J$82+'1. Inputs'!J$83+'1. Inputs'!J$50)</f>
        <v/>
      </c>
    </row>
    <row r="139">
      <c r="A139" t="inlineStr">
        <is>
          <t>Digital Experience subscription revenue</t>
        </is>
      </c>
      <c r="F139" s="25">
        <f>$D86*(1+'1. Inputs'!F$84)</f>
        <v/>
      </c>
      <c r="G139" s="25">
        <f>F139*(1+'1. Inputs'!G$84)</f>
        <v/>
      </c>
      <c r="H139" s="25">
        <f>G139*(1+'1. Inputs'!H$84)</f>
        <v/>
      </c>
      <c r="I139" s="25">
        <f>H139*(1+'1. Inputs'!I$84)</f>
        <v/>
      </c>
      <c r="J139" s="25">
        <f>I139*(1+'1. Inputs'!J$84)</f>
        <v/>
      </c>
    </row>
    <row r="140">
      <c r="A140" t="inlineStr">
        <is>
          <t>Semrush revenue</t>
        </is>
      </c>
      <c r="F140" s="25">
        <f>'1. Inputs'!F$51</f>
        <v/>
      </c>
      <c r="G140" s="25">
        <f>'1. Inputs'!G$51</f>
        <v/>
      </c>
      <c r="H140" s="25">
        <f>'1. Inputs'!H$51</f>
        <v/>
      </c>
      <c r="I140" s="25">
        <f>'1. Inputs'!I$51</f>
        <v/>
      </c>
      <c r="J140" s="25">
        <f>'1. Inputs'!J$51</f>
        <v/>
      </c>
    </row>
    <row r="141">
      <c r="A141" t="inlineStr">
        <is>
          <t>Publishing &amp; Advertising subscription revenue (shared)</t>
        </is>
      </c>
      <c r="F141" s="25">
        <f>F88</f>
        <v/>
      </c>
      <c r="G141" s="25">
        <f>G88</f>
        <v/>
      </c>
      <c r="H141" s="25">
        <f>H88</f>
        <v/>
      </c>
      <c r="I141" s="25">
        <f>I88</f>
        <v/>
      </c>
      <c r="J141" s="25">
        <f>J88</f>
        <v/>
      </c>
    </row>
    <row r="142">
      <c r="A142" t="inlineStr">
        <is>
          <t>Product revenue (shared)</t>
        </is>
      </c>
      <c r="F142" s="25">
        <f>F89</f>
        <v/>
      </c>
      <c r="G142" s="25">
        <f>G89</f>
        <v/>
      </c>
      <c r="H142" s="25">
        <f>H89</f>
        <v/>
      </c>
      <c r="I142" s="25">
        <f>I89</f>
        <v/>
      </c>
      <c r="J142" s="25">
        <f>J89</f>
        <v/>
      </c>
    </row>
    <row r="143">
      <c r="A143" t="inlineStr">
        <is>
          <t>Services and other revenue (shared)</t>
        </is>
      </c>
      <c r="F143" s="25">
        <f>F90</f>
        <v/>
      </c>
      <c r="G143" s="25">
        <f>G90</f>
        <v/>
      </c>
      <c r="H143" s="25">
        <f>H90</f>
        <v/>
      </c>
      <c r="I143" s="25">
        <f>I90</f>
        <v/>
      </c>
      <c r="J143" s="25">
        <f>J90</f>
        <v/>
      </c>
    </row>
    <row r="144">
      <c r="A144" s="9" t="inlineStr">
        <is>
          <t>Total subscription revenue</t>
        </is>
      </c>
      <c r="F144" s="16">
        <f>F137+F138+F139+F140+F141</f>
        <v/>
      </c>
      <c r="G144" s="16">
        <f>G137+G138+G139+G140+G141</f>
        <v/>
      </c>
      <c r="H144" s="16">
        <f>H137+H138+H139+H140+H141</f>
        <v/>
      </c>
      <c r="I144" s="16">
        <f>I137+I138+I139+I140+I141</f>
        <v/>
      </c>
      <c r="J144" s="16">
        <f>J137+J138+J139+J140+J141</f>
        <v/>
      </c>
    </row>
    <row r="145">
      <c r="A145" s="9" t="inlineStr">
        <is>
          <t>TOTAL REVENUE</t>
        </is>
      </c>
      <c r="F145" s="16">
        <f>F144+F142+F143</f>
        <v/>
      </c>
      <c r="G145" s="16">
        <f>G144+G142+G143</f>
        <v/>
      </c>
      <c r="H145" s="16">
        <f>H144+H142+H143</f>
        <v/>
      </c>
      <c r="I145" s="16">
        <f>I144+I142+I143</f>
        <v/>
      </c>
      <c r="J145" s="16">
        <f>J144+J142+J143</f>
        <v/>
      </c>
    </row>
    <row r="146">
      <c r="A146" t="inlineStr">
        <is>
          <t>Subscription cost ratio, ex-amortisation</t>
        </is>
      </c>
      <c r="F146" s="37">
        <f>$D96+'1. Inputs'!F$85/10000</f>
        <v/>
      </c>
      <c r="G146" s="37">
        <f>F146+'1. Inputs'!G$85/10000</f>
        <v/>
      </c>
      <c r="H146" s="37">
        <f>G146+'1. Inputs'!H$85/10000</f>
        <v/>
      </c>
      <c r="I146" s="37">
        <f>H146+'1. Inputs'!I$85/10000</f>
        <v/>
      </c>
      <c r="J146" s="37">
        <f>I146+'1. Inputs'!J$85/10000</f>
        <v/>
      </c>
    </row>
    <row r="147">
      <c r="A147" t="inlineStr">
        <is>
          <t>Gross profit, ex-amortisation</t>
        </is>
      </c>
      <c r="F147" s="25">
        <f>F145-F144*F146-F142*'1. Inputs'!$B$56-F143*'1. Inputs'!$B$57</f>
        <v/>
      </c>
      <c r="G147" s="25">
        <f>G145-G144*G146-G142*'1. Inputs'!$B$56-G143*'1. Inputs'!$B$57</f>
        <v/>
      </c>
      <c r="H147" s="25">
        <f>H145-H144*H146-H142*'1. Inputs'!$B$56-H143*'1. Inputs'!$B$57</f>
        <v/>
      </c>
      <c r="I147" s="25">
        <f>I145-I144*I146-I142*'1. Inputs'!$B$56-I143*'1. Inputs'!$B$57</f>
        <v/>
      </c>
      <c r="J147" s="25">
        <f>J145-J144*J146-J142*'1. Inputs'!$B$56-J143*'1. Inputs'!$B$57</f>
        <v/>
      </c>
    </row>
    <row r="148">
      <c r="A148" s="9" t="inlineStr">
        <is>
          <t>EBITA</t>
        </is>
      </c>
      <c r="F148" s="16">
        <f>F147-F145*('1. Inputs'!F$86+'1. Inputs'!F$87+'1. Inputs'!F$88+'1. Inputs'!F$89)</f>
        <v/>
      </c>
      <c r="G148" s="16">
        <f>G147-G145*('1. Inputs'!G$86+'1. Inputs'!G$87+'1. Inputs'!G$88+'1. Inputs'!G$89)</f>
        <v/>
      </c>
      <c r="H148" s="16">
        <f>H147-H145*('1. Inputs'!H$86+'1. Inputs'!H$87+'1. Inputs'!H$88+'1. Inputs'!H$89)</f>
        <v/>
      </c>
      <c r="I148" s="16">
        <f>I147-I145*('1. Inputs'!I$86+'1. Inputs'!I$87+'1. Inputs'!I$88+'1. Inputs'!I$89)</f>
        <v/>
      </c>
      <c r="J148" s="16">
        <f>J147-J145*('1. Inputs'!J$86+'1. Inputs'!J$87+'1. Inputs'!J$88+'1. Inputs'!J$89)</f>
        <v/>
      </c>
    </row>
    <row r="149">
      <c r="A149" t="inlineStr">
        <is>
          <t>+ PP&amp;E depreciation (shared)</t>
        </is>
      </c>
      <c r="F149" s="25">
        <f>F18</f>
        <v/>
      </c>
      <c r="G149" s="25">
        <f>G18</f>
        <v/>
      </c>
      <c r="H149" s="25">
        <f>H18</f>
        <v/>
      </c>
      <c r="I149" s="25">
        <f>I18</f>
        <v/>
      </c>
      <c r="J149" s="25">
        <f>J18</f>
        <v/>
      </c>
    </row>
    <row r="150">
      <c r="A150" t="inlineStr">
        <is>
          <t>− maintenance capex (shared)</t>
        </is>
      </c>
      <c r="F150" s="25">
        <f>F19</f>
        <v/>
      </c>
      <c r="G150" s="25">
        <f>G19</f>
        <v/>
      </c>
      <c r="H150" s="25">
        <f>H19</f>
        <v/>
      </c>
      <c r="I150" s="25">
        <f>I19</f>
        <v/>
      </c>
      <c r="J150" s="25">
        <f>J19</f>
        <v/>
      </c>
    </row>
    <row r="151">
      <c r="A151" s="9" t="inlineStr">
        <is>
          <t xml:space="preserve"> = pre-tax owners' earnings</t>
        </is>
      </c>
      <c r="F151" s="16">
        <f>F148+F149+F150</f>
        <v/>
      </c>
      <c r="G151" s="16">
        <f>G148+G149+G150</f>
        <v/>
      </c>
      <c r="H151" s="16">
        <f>H148+H149+H150</f>
        <v/>
      </c>
      <c r="I151" s="16">
        <f>I148+I149+I150</f>
        <v/>
      </c>
      <c r="J151" s="16">
        <f>J148+J149+J150</f>
        <v/>
      </c>
    </row>
    <row r="152">
      <c r="A152" s="9" t="inlineStr">
        <is>
          <t xml:space="preserve"> = OWNERS' EARNINGS</t>
        </is>
      </c>
      <c r="F152" s="38">
        <f>F151*(1-'1. Inputs'!$B$10)</f>
        <v/>
      </c>
      <c r="G152" s="38">
        <f>G151*(1-'1. Inputs'!$B$10)</f>
        <v/>
      </c>
      <c r="H152" s="38">
        <f>H151*(1-'1. Inputs'!$B$10)</f>
        <v/>
      </c>
      <c r="I152" s="38">
        <f>I151*(1-'1. Inputs'!$B$10)</f>
        <v/>
      </c>
      <c r="J152" s="38">
        <f>J151*(1-'1. Inputs'!$B$10)</f>
        <v/>
      </c>
    </row>
    <row r="154">
      <c r="A154" s="19" t="inlineStr">
        <is>
          <t xml:space="preserve">  BULL  —  Freemium converts, unit inference-cost deflation outruns volume growth, advertising normalises after FY2027, price optimisations resume in full.</t>
        </is>
      </c>
      <c r="B154" s="19" t="n"/>
      <c r="C154" s="19" t="n"/>
      <c r="D154" s="19" t="n"/>
      <c r="E154" s="19" t="n"/>
      <c r="F154" s="19" t="n"/>
      <c r="G154" s="19" t="n"/>
      <c r="H154" s="19" t="n"/>
      <c r="I154" s="19" t="n"/>
      <c r="J154" s="19" t="n"/>
      <c r="K154" s="19" t="n"/>
      <c r="L154" s="19" t="n"/>
      <c r="M154" s="19" t="n"/>
    </row>
    <row r="155">
      <c r="A155" t="inlineStr">
        <is>
          <t>MAU exiting year (M)</t>
        </is>
      </c>
      <c r="F155" s="31">
        <f>$D79*(1+'1. Inputs'!F$106)</f>
        <v/>
      </c>
      <c r="G155" s="31">
        <f>F155*(1+'1. Inputs'!G$106)</f>
        <v/>
      </c>
      <c r="H155" s="31">
        <f>G155*(1+'1. Inputs'!H$106)</f>
        <v/>
      </c>
      <c r="I155" s="31">
        <f>H155*(1+'1. Inputs'!I$106)</f>
        <v/>
      </c>
      <c r="J155" s="31">
        <f>I155*(1+'1. Inputs'!J$106)</f>
        <v/>
      </c>
    </row>
    <row r="156">
      <c r="A156" t="inlineStr">
        <is>
          <t>Average MAU (M)</t>
        </is>
      </c>
      <c r="F156" s="31">
        <f>($D79+F155)/2</f>
        <v/>
      </c>
      <c r="G156" s="31">
        <f>(F155+G155)/2</f>
        <v/>
      </c>
      <c r="H156" s="31">
        <f>(G155+H155)/2</f>
        <v/>
      </c>
      <c r="I156" s="31">
        <f>(H155+I155)/2</f>
        <v/>
      </c>
      <c r="J156" s="31">
        <f>(I155+J155)/2</f>
        <v/>
      </c>
    </row>
    <row r="157">
      <c r="A157" t="inlineStr">
        <is>
          <t>Revenue per average MAU ($/yr)</t>
        </is>
      </c>
      <c r="F157" s="36">
        <f>$D82*(1+'1. Inputs'!F$107)</f>
        <v/>
      </c>
      <c r="G157" s="36">
        <f>F157*(1+'1. Inputs'!G$107)</f>
        <v/>
      </c>
      <c r="H157" s="36">
        <f>G157*(1+'1. Inputs'!H$107)</f>
        <v/>
      </c>
      <c r="I157" s="36">
        <f>H157*(1+'1. Inputs'!I$107)</f>
        <v/>
      </c>
      <c r="J157" s="36">
        <f>I157*(1+'1. Inputs'!J$107)</f>
        <v/>
      </c>
    </row>
    <row r="158">
      <c r="A158" t="inlineStr">
        <is>
          <t>BP&amp;C subscription revenue</t>
        </is>
      </c>
      <c r="F158" s="25">
        <f>F156*F157</f>
        <v/>
      </c>
      <c r="G158" s="25">
        <f>G156*G157</f>
        <v/>
      </c>
      <c r="H158" s="25">
        <f>H156*H157</f>
        <v/>
      </c>
      <c r="I158" s="25">
        <f>I156*I157</f>
        <v/>
      </c>
      <c r="J158" s="25">
        <f>J156*J157</f>
        <v/>
      </c>
    </row>
    <row r="159">
      <c r="A159" t="inlineStr">
        <is>
          <t>Creative subscription revenue</t>
        </is>
      </c>
      <c r="F159" s="25">
        <f>$D85*(1+'1. Inputs'!F$108+'1. Inputs'!F$109+'1. Inputs'!F$50)</f>
        <v/>
      </c>
      <c r="G159" s="25">
        <f>F159*(1+'1. Inputs'!G$108+'1. Inputs'!G$109+'1. Inputs'!G$50)</f>
        <v/>
      </c>
      <c r="H159" s="25">
        <f>G159*(1+'1. Inputs'!H$108+'1. Inputs'!H$109+'1. Inputs'!H$50)</f>
        <v/>
      </c>
      <c r="I159" s="25">
        <f>H159*(1+'1. Inputs'!I$108+'1. Inputs'!I$109+'1. Inputs'!I$50)</f>
        <v/>
      </c>
      <c r="J159" s="25">
        <f>I159*(1+'1. Inputs'!J$108+'1. Inputs'!J$109+'1. Inputs'!J$50)</f>
        <v/>
      </c>
    </row>
    <row r="160">
      <c r="A160" t="inlineStr">
        <is>
          <t>Digital Experience subscription revenue</t>
        </is>
      </c>
      <c r="F160" s="25">
        <f>$D86*(1+'1. Inputs'!F$110)</f>
        <v/>
      </c>
      <c r="G160" s="25">
        <f>F160*(1+'1. Inputs'!G$110)</f>
        <v/>
      </c>
      <c r="H160" s="25">
        <f>G160*(1+'1. Inputs'!H$110)</f>
        <v/>
      </c>
      <c r="I160" s="25">
        <f>H160*(1+'1. Inputs'!I$110)</f>
        <v/>
      </c>
      <c r="J160" s="25">
        <f>I160*(1+'1. Inputs'!J$110)</f>
        <v/>
      </c>
    </row>
    <row r="161">
      <c r="A161" t="inlineStr">
        <is>
          <t>Semrush revenue</t>
        </is>
      </c>
      <c r="F161" s="25">
        <f>'1. Inputs'!F$51</f>
        <v/>
      </c>
      <c r="G161" s="25">
        <f>'1. Inputs'!G$51</f>
        <v/>
      </c>
      <c r="H161" s="25">
        <f>'1. Inputs'!H$51</f>
        <v/>
      </c>
      <c r="I161" s="25">
        <f>'1. Inputs'!I$51</f>
        <v/>
      </c>
      <c r="J161" s="25">
        <f>'1. Inputs'!J$51</f>
        <v/>
      </c>
    </row>
    <row r="162">
      <c r="A162" t="inlineStr">
        <is>
          <t>Publishing &amp; Advertising subscription revenue (shared)</t>
        </is>
      </c>
      <c r="F162" s="25">
        <f>F88</f>
        <v/>
      </c>
      <c r="G162" s="25">
        <f>G88</f>
        <v/>
      </c>
      <c r="H162" s="25">
        <f>H88</f>
        <v/>
      </c>
      <c r="I162" s="25">
        <f>I88</f>
        <v/>
      </c>
      <c r="J162" s="25">
        <f>J88</f>
        <v/>
      </c>
    </row>
    <row r="163">
      <c r="A163" t="inlineStr">
        <is>
          <t>Product revenue (shared)</t>
        </is>
      </c>
      <c r="F163" s="25">
        <f>F89</f>
        <v/>
      </c>
      <c r="G163" s="25">
        <f>G89</f>
        <v/>
      </c>
      <c r="H163" s="25">
        <f>H89</f>
        <v/>
      </c>
      <c r="I163" s="25">
        <f>I89</f>
        <v/>
      </c>
      <c r="J163" s="25">
        <f>J89</f>
        <v/>
      </c>
    </row>
    <row r="164">
      <c r="A164" t="inlineStr">
        <is>
          <t>Services and other revenue (shared)</t>
        </is>
      </c>
      <c r="F164" s="25">
        <f>F90</f>
        <v/>
      </c>
      <c r="G164" s="25">
        <f>G90</f>
        <v/>
      </c>
      <c r="H164" s="25">
        <f>H90</f>
        <v/>
      </c>
      <c r="I164" s="25">
        <f>I90</f>
        <v/>
      </c>
      <c r="J164" s="25">
        <f>J90</f>
        <v/>
      </c>
    </row>
    <row r="165">
      <c r="A165" s="9" t="inlineStr">
        <is>
          <t>Total subscription revenue</t>
        </is>
      </c>
      <c r="F165" s="16">
        <f>F158+F159+F160+F161+F162</f>
        <v/>
      </c>
      <c r="G165" s="16">
        <f>G158+G159+G160+G161+G162</f>
        <v/>
      </c>
      <c r="H165" s="16">
        <f>H158+H159+H160+H161+H162</f>
        <v/>
      </c>
      <c r="I165" s="16">
        <f>I158+I159+I160+I161+I162</f>
        <v/>
      </c>
      <c r="J165" s="16">
        <f>J158+J159+J160+J161+J162</f>
        <v/>
      </c>
    </row>
    <row r="166">
      <c r="A166" s="9" t="inlineStr">
        <is>
          <t>TOTAL REVENUE</t>
        </is>
      </c>
      <c r="F166" s="16">
        <f>F165+F163+F164</f>
        <v/>
      </c>
      <c r="G166" s="16">
        <f>G165+G163+G164</f>
        <v/>
      </c>
      <c r="H166" s="16">
        <f>H165+H163+H164</f>
        <v/>
      </c>
      <c r="I166" s="16">
        <f>I165+I163+I164</f>
        <v/>
      </c>
      <c r="J166" s="16">
        <f>J165+J163+J164</f>
        <v/>
      </c>
    </row>
    <row r="167">
      <c r="A167" t="inlineStr">
        <is>
          <t>Subscription cost ratio, ex-amortisation</t>
        </is>
      </c>
      <c r="F167" s="37">
        <f>$D96+'1. Inputs'!F$111/10000</f>
        <v/>
      </c>
      <c r="G167" s="37">
        <f>F167+'1. Inputs'!G$111/10000</f>
        <v/>
      </c>
      <c r="H167" s="37">
        <f>G167+'1. Inputs'!H$111/10000</f>
        <v/>
      </c>
      <c r="I167" s="37">
        <f>H167+'1. Inputs'!I$111/10000</f>
        <v/>
      </c>
      <c r="J167" s="37">
        <f>I167+'1. Inputs'!J$111/10000</f>
        <v/>
      </c>
    </row>
    <row r="168">
      <c r="A168" t="inlineStr">
        <is>
          <t>Gross profit, ex-amortisation</t>
        </is>
      </c>
      <c r="F168" s="25">
        <f>F166-F165*F167-F163*'1. Inputs'!$B$56-F164*'1. Inputs'!$B$57</f>
        <v/>
      </c>
      <c r="G168" s="25">
        <f>G166-G165*G167-G163*'1. Inputs'!$B$56-G164*'1. Inputs'!$B$57</f>
        <v/>
      </c>
      <c r="H168" s="25">
        <f>H166-H165*H167-H163*'1. Inputs'!$B$56-H164*'1. Inputs'!$B$57</f>
        <v/>
      </c>
      <c r="I168" s="25">
        <f>I166-I165*I167-I163*'1. Inputs'!$B$56-I164*'1. Inputs'!$B$57</f>
        <v/>
      </c>
      <c r="J168" s="25">
        <f>J166-J165*J167-J163*'1. Inputs'!$B$56-J164*'1. Inputs'!$B$57</f>
        <v/>
      </c>
    </row>
    <row r="169">
      <c r="A169" s="9" t="inlineStr">
        <is>
          <t>EBITA</t>
        </is>
      </c>
      <c r="F169" s="16">
        <f>F168-F166*('1. Inputs'!F$112+'1. Inputs'!F$113+'1. Inputs'!F$114+'1. Inputs'!F$115)</f>
        <v/>
      </c>
      <c r="G169" s="16">
        <f>G168-G166*('1. Inputs'!G$112+'1. Inputs'!G$113+'1. Inputs'!G$114+'1. Inputs'!G$115)</f>
        <v/>
      </c>
      <c r="H169" s="16">
        <f>H168-H166*('1. Inputs'!H$112+'1. Inputs'!H$113+'1. Inputs'!H$114+'1. Inputs'!H$115)</f>
        <v/>
      </c>
      <c r="I169" s="16">
        <f>I168-I166*('1. Inputs'!I$112+'1. Inputs'!I$113+'1. Inputs'!I$114+'1. Inputs'!I$115)</f>
        <v/>
      </c>
      <c r="J169" s="16">
        <f>J168-J166*('1. Inputs'!J$112+'1. Inputs'!J$113+'1. Inputs'!J$114+'1. Inputs'!J$115)</f>
        <v/>
      </c>
    </row>
    <row r="170">
      <c r="A170" t="inlineStr">
        <is>
          <t>+ PP&amp;E depreciation (shared)</t>
        </is>
      </c>
      <c r="F170" s="25">
        <f>F18</f>
        <v/>
      </c>
      <c r="G170" s="25">
        <f>G18</f>
        <v/>
      </c>
      <c r="H170" s="25">
        <f>H18</f>
        <v/>
      </c>
      <c r="I170" s="25">
        <f>I18</f>
        <v/>
      </c>
      <c r="J170" s="25">
        <f>J18</f>
        <v/>
      </c>
    </row>
    <row r="171">
      <c r="A171" t="inlineStr">
        <is>
          <t>− maintenance capex (shared)</t>
        </is>
      </c>
      <c r="F171" s="25">
        <f>F19</f>
        <v/>
      </c>
      <c r="G171" s="25">
        <f>G19</f>
        <v/>
      </c>
      <c r="H171" s="25">
        <f>H19</f>
        <v/>
      </c>
      <c r="I171" s="25">
        <f>I19</f>
        <v/>
      </c>
      <c r="J171" s="25">
        <f>J19</f>
        <v/>
      </c>
    </row>
    <row r="172">
      <c r="A172" s="9" t="inlineStr">
        <is>
          <t xml:space="preserve"> = pre-tax owners' earnings</t>
        </is>
      </c>
      <c r="F172" s="16">
        <f>F169+F170+F171</f>
        <v/>
      </c>
      <c r="G172" s="16">
        <f>G169+G170+G171</f>
        <v/>
      </c>
      <c r="H172" s="16">
        <f>H169+H170+H171</f>
        <v/>
      </c>
      <c r="I172" s="16">
        <f>I169+I170+I171</f>
        <v/>
      </c>
      <c r="J172" s="16">
        <f>J169+J170+J171</f>
        <v/>
      </c>
    </row>
    <row r="173">
      <c r="A173" s="9" t="inlineStr">
        <is>
          <t xml:space="preserve"> = OWNERS' EARNINGS</t>
        </is>
      </c>
      <c r="F173" s="38">
        <f>F172*(1-'1. Inputs'!$B$10)</f>
        <v/>
      </c>
      <c r="G173" s="38">
        <f>G172*(1-'1. Inputs'!$B$10)</f>
        <v/>
      </c>
      <c r="H173" s="38">
        <f>H172*(1-'1. Inputs'!$B$10)</f>
        <v/>
      </c>
      <c r="I173" s="38">
        <f>I172*(1-'1. Inputs'!$B$10)</f>
        <v/>
      </c>
      <c r="J173" s="38">
        <f>J172*(1-'1. Inputs'!$B$10)</f>
        <v/>
      </c>
    </row>
    <row r="175">
      <c r="A175" s="6" t="inlineStr">
        <is>
          <t>§7.  OWNERS' EARNINGS BY SCENARIO AND PROBABILITY-WEIGHTED — the input to sheet 3</t>
        </is>
      </c>
      <c r="B175" s="6" t="n"/>
      <c r="C175" s="6" t="n"/>
      <c r="D175" s="6" t="n"/>
      <c r="E175" s="6" t="n"/>
      <c r="F175" s="6" t="n"/>
      <c r="G175" s="6" t="n"/>
      <c r="H175" s="6" t="n"/>
      <c r="I175" s="6" t="n"/>
      <c r="J175" s="6" t="n"/>
      <c r="K175" s="6" t="n"/>
      <c r="L175" s="6" t="n"/>
      <c r="M175" s="6" t="n"/>
    </row>
    <row r="177">
      <c r="B177" s="8" t="inlineStr">
        <is>
          <t>Probability</t>
        </is>
      </c>
      <c r="C177" s="8" t="inlineStr">
        <is>
          <t>FY2030E/FY2025A</t>
        </is>
      </c>
      <c r="F177" s="8" t="inlineStr">
        <is>
          <t>FY2026E</t>
        </is>
      </c>
      <c r="G177" s="8" t="inlineStr">
        <is>
          <t>FY2027E</t>
        </is>
      </c>
      <c r="H177" s="8" t="inlineStr">
        <is>
          <t>FY2028E</t>
        </is>
      </c>
      <c r="I177" s="8" t="inlineStr">
        <is>
          <t>FY2029E</t>
        </is>
      </c>
      <c r="J177" s="8" t="inlineStr">
        <is>
          <t>FY2030E</t>
        </is>
      </c>
      <c r="M177" s="39" t="inlineStr">
        <is>
          <t>Source / note</t>
        </is>
      </c>
    </row>
    <row r="178">
      <c r="A178" t="inlineStr">
        <is>
          <t>Owners' earnings — SEVERE</t>
        </is>
      </c>
      <c r="B178" s="27">
        <f>'1. Inputs'!$B$17</f>
        <v/>
      </c>
      <c r="C178" s="27">
        <f>(J131/D22)^(1/5)-1</f>
        <v/>
      </c>
      <c r="F178" s="25">
        <f>F131</f>
        <v/>
      </c>
      <c r="G178" s="25">
        <f>G131</f>
        <v/>
      </c>
      <c r="H178" s="25">
        <f>H131</f>
        <v/>
      </c>
      <c r="I178" s="25">
        <f>I131</f>
        <v/>
      </c>
      <c r="J178" s="25">
        <f>J131</f>
        <v/>
      </c>
      <c r="M178" s="2" t="inlineStr">
        <is>
          <t>Generative AI SUBSTITUTES Adobe's creative workflows (as it did Adobe Stock); Adobe defends with price cuts and more advertising.</t>
        </is>
      </c>
    </row>
    <row r="179">
      <c r="A179" t="inlineStr">
        <is>
          <t>Owners' earnings — BEAR</t>
        </is>
      </c>
      <c r="B179" s="27">
        <f>'1. Inputs'!$B$18</f>
        <v/>
      </c>
      <c r="C179" s="27">
        <f>(J152/D22)^(1/5)-1</f>
        <v/>
      </c>
      <c r="F179" s="25">
        <f>F152</f>
        <v/>
      </c>
      <c r="G179" s="25">
        <f>G152</f>
        <v/>
      </c>
      <c r="H179" s="25">
        <f>H152</f>
        <v/>
      </c>
      <c r="I179" s="25">
        <f>I152</f>
        <v/>
      </c>
      <c r="J179" s="25">
        <f>J152</f>
        <v/>
      </c>
      <c r="M179" s="2" t="inlineStr">
        <is>
          <t>AI substitution bites Creative, freemium advertising never comes down, inference cost keeps compounding, BP&amp;C monetisation keeps eroding.</t>
        </is>
      </c>
    </row>
    <row r="180">
      <c r="A180" t="inlineStr">
        <is>
          <t>Owners' earnings — BASE</t>
        </is>
      </c>
      <c r="B180" s="27">
        <f>'1. Inputs'!$B$19</f>
        <v/>
      </c>
      <c r="C180" s="27">
        <f>(J22/D22)^(1/5)-1</f>
        <v/>
      </c>
      <c r="F180" s="25">
        <f>F22</f>
        <v/>
      </c>
      <c r="G180" s="25">
        <f>G22</f>
        <v/>
      </c>
      <c r="H180" s="25">
        <f>H22</f>
        <v/>
      </c>
      <c r="I180" s="25">
        <f>I22</f>
        <v/>
      </c>
      <c r="J180" s="25">
        <f>J22</f>
        <v/>
      </c>
      <c r="M180" s="2" t="inlineStr">
        <is>
          <t>Freemium reach compounds but monetises at a falling rate; hosting/AI cost drift decays; modest operating leverage in S&amp;M.</t>
        </is>
      </c>
    </row>
    <row r="181">
      <c r="A181" t="inlineStr">
        <is>
          <t>Owners' earnings — BULL</t>
        </is>
      </c>
      <c r="B181" s="27">
        <f>'1. Inputs'!$B$20</f>
        <v/>
      </c>
      <c r="C181" s="27">
        <f>(J173/D22)^(1/5)-1</f>
        <v/>
      </c>
      <c r="F181" s="25">
        <f>F173</f>
        <v/>
      </c>
      <c r="G181" s="25">
        <f>G173</f>
        <v/>
      </c>
      <c r="H181" s="25">
        <f>H173</f>
        <v/>
      </c>
      <c r="I181" s="25">
        <f>I173</f>
        <v/>
      </c>
      <c r="J181" s="25">
        <f>J173</f>
        <v/>
      </c>
      <c r="M181" s="2" t="inlineStr">
        <is>
          <t>Freemium converts, unit inference-cost deflation outruns volume growth, advertising normalises after FY2027, price optimisations resume in full.</t>
        </is>
      </c>
    </row>
    <row r="182">
      <c r="A182" s="28" t="inlineStr">
        <is>
          <t>PROBABILITY-WEIGHTED OWNERS' EARNINGS</t>
        </is>
      </c>
      <c r="B182" s="11">
        <f>SUM(B178:B181)</f>
        <v/>
      </c>
      <c r="C182" s="40">
        <f>(J182/D22)^(1/5)-1</f>
        <v/>
      </c>
      <c r="F182" s="41">
        <f>$B178*F178+$B179*F179+$B180*F180+$B181*F181</f>
        <v/>
      </c>
      <c r="G182" s="41">
        <f>$B178*G178+$B179*G179+$B180*G180+$B181*G181</f>
        <v/>
      </c>
      <c r="H182" s="41">
        <f>$B178*H178+$B179*H179+$B180*H180+$B181*H181</f>
        <v/>
      </c>
      <c r="I182" s="41">
        <f>$B178*I178+$B179*I179+$B180*I180+$B181*I181</f>
        <v/>
      </c>
      <c r="J182" s="41">
        <f>$B178*J178+$B179*J179+$B180*J180+$B181*J181</f>
        <v/>
      </c>
      <c r="M182" s="2" t="inlineStr">
        <is>
          <t>Weights are ANALYST JUDGMENT (forecast_earnings.md §1: 'my judgment and are not sourced'), not a sourced probability distribution. Column C is the 5-year CAGR off the FY2025A actual of $7,119M.</t>
        </is>
      </c>
    </row>
    <row r="184">
      <c r="A184" s="6" t="inlineStr">
        <is>
          <t>§8.  CHECKS AGAINST THE PUBLISHED WORK PRODUCTS</t>
        </is>
      </c>
      <c r="B184" s="6" t="n"/>
      <c r="C184" s="6" t="n"/>
      <c r="D184" s="6" t="n"/>
      <c r="E184" s="6" t="n"/>
      <c r="F184" s="6" t="n"/>
      <c r="G184" s="6" t="n"/>
      <c r="H184" s="6" t="n"/>
      <c r="I184" s="6" t="n"/>
      <c r="J184" s="6" t="n"/>
      <c r="K184" s="6" t="n"/>
      <c r="L184" s="6" t="n"/>
      <c r="M184" s="6" t="n"/>
    </row>
    <row r="185">
      <c r="A185" s="2" t="inlineStr">
        <is>
          <t>Small residuals are expected: the published scripts round scenario owners' earnings to the nearest $M before weighting, whereas this workbook carries full precision throughout.</t>
        </is>
      </c>
    </row>
    <row r="187">
      <c r="B187" s="8" t="inlineStr">
        <is>
          <t>Model</t>
        </is>
      </c>
      <c r="C187" s="8" t="inlineStr">
        <is>
          <t>Published</t>
        </is>
      </c>
      <c r="D187" s="8" t="inlineStr">
        <is>
          <t>Diff</t>
        </is>
      </c>
    </row>
    <row r="188">
      <c r="A188" t="inlineStr">
        <is>
          <t>FY2023A owners' earnings ($M)</t>
        </is>
      </c>
      <c r="B188" s="25">
        <f>B22</f>
        <v/>
      </c>
      <c r="C188" s="12" t="n">
        <v>5545</v>
      </c>
      <c r="D188" s="42">
        <f>B188-C188</f>
        <v/>
      </c>
      <c r="M188" s="2" t="inlineStr">
        <is>
          <t>owners_earnings_and_roic.md §1</t>
        </is>
      </c>
    </row>
    <row r="189">
      <c r="A189" t="inlineStr">
        <is>
          <t>FY2024A owners' earnings ($M)</t>
        </is>
      </c>
      <c r="B189" s="25">
        <f>C22</f>
        <v/>
      </c>
      <c r="C189" s="12" t="n">
        <v>6441</v>
      </c>
      <c r="D189" s="42">
        <f>B189-C189</f>
        <v/>
      </c>
      <c r="M189" s="2" t="inlineStr">
        <is>
          <t>owners_earnings_and_roic.md §1</t>
        </is>
      </c>
    </row>
    <row r="190">
      <c r="A190" t="inlineStr">
        <is>
          <t>FY2025A owners' earnings ($M)</t>
        </is>
      </c>
      <c r="B190" s="25">
        <f>D22</f>
        <v/>
      </c>
      <c r="C190" s="12" t="n">
        <v>7119</v>
      </c>
      <c r="D190" s="42">
        <f>B190-C190</f>
        <v/>
      </c>
      <c r="M190" s="2" t="inlineStr">
        <is>
          <t>owners_earnings_and_roic.md §1</t>
        </is>
      </c>
    </row>
    <row r="191">
      <c r="A191" t="inlineStr">
        <is>
          <t>TTM Q2 FY2026 owners' earnings ($M)</t>
        </is>
      </c>
      <c r="B191" s="25">
        <f>E22</f>
        <v/>
      </c>
      <c r="C191" s="12" t="n">
        <v>7490</v>
      </c>
      <c r="D191" s="42">
        <f>B191-C191</f>
        <v/>
      </c>
      <c r="M191" s="2" t="inlineStr">
        <is>
          <t>owners_earnings_and_roic.md §1</t>
        </is>
      </c>
    </row>
    <row r="192">
      <c r="A192" t="inlineStr">
        <is>
          <t>FY2025A owners' earnings per diluted share</t>
        </is>
      </c>
      <c r="B192" s="36">
        <f>D29</f>
        <v/>
      </c>
      <c r="C192" s="43" t="n">
        <v>16.67</v>
      </c>
      <c r="D192" s="44">
        <f>B192-C192</f>
        <v/>
      </c>
      <c r="M192" s="2" t="inlineStr">
        <is>
          <t>owners_earnings_and_roic.md §1</t>
        </is>
      </c>
    </row>
    <row r="193">
      <c r="A193" t="inlineStr">
        <is>
          <t>TTM Q2 FY2026 owners' earnings per diluted share</t>
        </is>
      </c>
      <c r="B193" s="36">
        <f>E29</f>
        <v/>
      </c>
      <c r="C193" s="43" t="n">
        <v>18.71</v>
      </c>
      <c r="D193" s="44">
        <f>B193-C193</f>
        <v/>
      </c>
      <c r="M193" s="2" t="inlineStr">
        <is>
          <t>owners_earnings_and_roic.md §1</t>
        </is>
      </c>
    </row>
    <row r="194">
      <c r="A194" t="inlineStr">
        <is>
          <t>FY2026E owners' earnings, BASE ($M)</t>
        </is>
      </c>
      <c r="B194" s="25">
        <f>F22</f>
        <v/>
      </c>
      <c r="C194" s="12" t="n">
        <v>7729</v>
      </c>
      <c r="D194" s="42">
        <f>B194-C194</f>
        <v/>
      </c>
      <c r="M194" s="2" t="inlineStr">
        <is>
          <t>forecast_earnings.md §1</t>
        </is>
      </c>
    </row>
    <row r="195">
      <c r="A195" t="inlineStr">
        <is>
          <t>FY2030E owners' earnings, BASE ($M)</t>
        </is>
      </c>
      <c r="B195" s="25">
        <f>J22</f>
        <v/>
      </c>
      <c r="C195" s="12" t="n">
        <v>10745</v>
      </c>
      <c r="D195" s="42">
        <f>B195-C195</f>
        <v/>
      </c>
      <c r="M195" s="2" t="inlineStr">
        <is>
          <t>forecast_earnings.md §1</t>
        </is>
      </c>
    </row>
    <row r="196">
      <c r="A196" t="inlineStr">
        <is>
          <t>FY2030E owners' earnings, SEVERE ($M)</t>
        </is>
      </c>
      <c r="B196" s="25">
        <f>J131</f>
        <v/>
      </c>
      <c r="C196" s="12" t="n">
        <v>6022</v>
      </c>
      <c r="D196" s="42">
        <f>B196-C196</f>
        <v/>
      </c>
      <c r="M196" s="2" t="inlineStr">
        <is>
          <t>forecast_earnings.md §1 / valuation.md §2.1</t>
        </is>
      </c>
    </row>
    <row r="197">
      <c r="A197" t="inlineStr">
        <is>
          <t>FY2030E owners' earnings, BEAR ($M)</t>
        </is>
      </c>
      <c r="B197" s="25">
        <f>J152</f>
        <v/>
      </c>
      <c r="C197" s="12" t="n">
        <v>8105</v>
      </c>
      <c r="D197" s="42">
        <f>B197-C197</f>
        <v/>
      </c>
      <c r="M197" s="2" t="inlineStr">
        <is>
          <t>forecast_earnings.md §1 / valuation.md §2.1</t>
        </is>
      </c>
    </row>
    <row r="198">
      <c r="A198" t="inlineStr">
        <is>
          <t>FY2030E owners' earnings, BULL ($M)</t>
        </is>
      </c>
      <c r="B198" s="25">
        <f>J173</f>
        <v/>
      </c>
      <c r="C198" s="12" t="n">
        <v>13035</v>
      </c>
      <c r="D198" s="42">
        <f>B198-C198</f>
        <v/>
      </c>
      <c r="M198" s="2" t="inlineStr">
        <is>
          <t>forecast_earnings.md §1 / valuation.md §2.1</t>
        </is>
      </c>
    </row>
    <row r="199">
      <c r="A199" t="inlineStr">
        <is>
          <t>FY2030E owners' earnings, WEIGHTED ($M)</t>
        </is>
      </c>
      <c r="B199" s="25">
        <f>J182</f>
        <v/>
      </c>
      <c r="C199" s="12" t="n">
        <v>9835</v>
      </c>
      <c r="D199" s="42">
        <f>B199-C199</f>
        <v/>
      </c>
      <c r="M199" s="2" t="inlineStr">
        <is>
          <t>terminal_value.md §1 / valuation.md §2.1. forecast_earnings.md §1 prints $9,834M — a rounding difference between the two documents.</t>
        </is>
      </c>
    </row>
    <row r="200">
      <c r="A200" t="inlineStr">
        <is>
          <t>FY2025A total revenue ($M)</t>
        </is>
      </c>
      <c r="B200" s="25">
        <f>D11</f>
        <v/>
      </c>
      <c r="C200" s="12" t="n">
        <v>23769</v>
      </c>
      <c r="D200" s="42">
        <f>B200-C200</f>
        <v/>
      </c>
      <c r="M200" s="2" t="inlineStr">
        <is>
          <t>primary_sources/FY2025/financial_statements.md — 22,904 + 325 + 540.</t>
        </is>
      </c>
    </row>
    <row r="201">
      <c r="A201" t="inlineStr">
        <is>
          <t>FY2026E total revenue, BASE ($M)</t>
        </is>
      </c>
      <c r="B201" s="25">
        <f>F92</f>
        <v/>
      </c>
      <c r="C201" s="12" t="n">
        <v>26496</v>
      </c>
      <c r="D201" s="42">
        <f>B201-C201</f>
        <v/>
      </c>
      <c r="M201" s="2" t="inlineStr">
        <is>
          <t>forecast_earnings.md §1</t>
        </is>
      </c>
    </row>
    <row r="202">
      <c r="A202" t="inlineStr">
        <is>
          <t>FY2030E total revenue, BASE ($M)</t>
        </is>
      </c>
      <c r="B202" s="25">
        <f>J92</f>
        <v/>
      </c>
      <c r="C202" s="12" t="n">
        <v>35267</v>
      </c>
      <c r="D202" s="42">
        <f>B202-C202</f>
        <v/>
      </c>
      <c r="M202" s="2" t="inlineStr">
        <is>
          <t>forecast_earnings.md §1</t>
        </is>
      </c>
    </row>
    <row r="203">
      <c r="A203" t="inlineStr">
        <is>
          <t>FY2026E EBITA, BASE ($M)</t>
        </is>
      </c>
      <c r="B203" s="25">
        <f>F105</f>
        <v/>
      </c>
      <c r="C203" s="12" t="n">
        <v>9789</v>
      </c>
      <c r="D203" s="42">
        <f>B203-C203</f>
        <v/>
      </c>
      <c r="M203" s="2" t="inlineStr">
        <is>
          <t>forecast_earnings.md §1</t>
        </is>
      </c>
    </row>
    <row r="204">
      <c r="A204" t="inlineStr">
        <is>
          <t>FY2030E EBITA, BASE ($M)</t>
        </is>
      </c>
      <c r="B204" s="25">
        <f>J105</f>
        <v/>
      </c>
      <c r="C204" s="12" t="n">
        <v>13607</v>
      </c>
      <c r="D204" s="42">
        <f>B204-C204</f>
        <v/>
      </c>
      <c r="M204" s="2" t="inlineStr">
        <is>
          <t>forecast_earnings.md §1</t>
        </is>
      </c>
    </row>
  </sheetData>
  <pageMargins left="0.75" right="0.75" top="1" bottom="1" header="0.5" footer="0.5"/>
</worksheet>
</file>

<file path=xl/worksheets/sheet3.xml><?xml version="1.0" encoding="utf-8"?>
<worksheet xmlns="http://schemas.openxmlformats.org/spreadsheetml/2006/main">
  <sheetPr>
    <tabColor rgb="00375623"/>
    <outlinePr summaryBelow="1" summaryRight="1"/>
    <pageSetUpPr/>
  </sheetPr>
  <dimension ref="A1:H124"/>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3" customWidth="1" min="7" max="7"/>
    <col width="104" customWidth="1" min="8" max="8"/>
  </cols>
  <sheetData>
    <row r="1">
      <c r="A1" s="1" t="inlineStr">
        <is>
          <t>Adobe Inc. (ADBE) — TERMINAL VALUE AND SUM-OF-THE-PARTS VALUATION</t>
        </is>
      </c>
    </row>
    <row r="2">
      <c r="A2" s="2" t="inlineStr">
        <is>
          <t>Value = PV(forecast owners' earnings) + PV(terminal value) + standalone assets − all debt-like items, divided by TODAY's diluted share count. The valuation is trading-price blind: Adobe's share price and market capitalisation are not an input anywhere on this sheet (valuation.md §0, §2).</t>
        </is>
      </c>
    </row>
    <row r="3">
      <c r="A3" s="5" t="inlineStr">
        <is>
          <t>CONTENTS:  §A Headline sum of the parts   |   §B Terminal value by scenario   |   §C Gordon cross-check on the terminal multiples   |   §D Discounting   |   §E Full valuation by scenario   |   §F Equity bridge   |   §G Sensitivity   |   §H Checks</t>
        </is>
      </c>
    </row>
    <row r="5">
      <c r="A5" s="6" t="inlineStr">
        <is>
          <t>§A.  HEADLINE — SUM OF THE PARTS, PROBABILITY-WEIGHTED</t>
        </is>
      </c>
      <c r="B5" s="6" t="n"/>
      <c r="C5" s="6" t="n"/>
      <c r="D5" s="6" t="n"/>
      <c r="E5" s="6" t="n"/>
      <c r="F5" s="6" t="n"/>
      <c r="G5" s="6" t="n"/>
      <c r="H5" s="6" t="n"/>
    </row>
    <row r="7">
      <c r="A7" t="inlineStr">
        <is>
          <t>Part 1   PV of explicit-period owners' earnings, FY2026E-FY2030E (t=0..4)</t>
        </is>
      </c>
      <c r="B7" s="25">
        <f>F51</f>
        <v/>
      </c>
      <c r="H7" s="2" t="inlineStr">
        <is>
          <t>Detail in §E. Each scenario's own owners'-earnings path from sheet 2 §7, discounted at the rate on sheet 1.</t>
        </is>
      </c>
    </row>
    <row r="8">
      <c r="A8" t="inlineStr">
        <is>
          <t>Part 2   PV of terminal value at FY2030 year-end (t=4)</t>
        </is>
      </c>
      <c r="B8" s="25">
        <f>F52</f>
        <v/>
      </c>
      <c r="H8" s="2" t="inlineStr">
        <is>
          <t>Detail in §B and §E.</t>
        </is>
      </c>
    </row>
    <row r="9">
      <c r="A9" s="9" t="inlineStr">
        <is>
          <t xml:space="preserve">            = ENTERPRISE VALUE</t>
        </is>
      </c>
      <c r="B9" s="16">
        <f>B7+B8</f>
        <v/>
      </c>
      <c r="H9" s="2" t="inlineStr">
        <is>
          <t>An ENTERPRISE value, because owners' earnings are unlevered: interest expense and interest income sit below the operating line and are excluded (terminal_value.md §2).</t>
        </is>
      </c>
    </row>
    <row r="10">
      <c r="A10" t="inlineStr">
        <is>
          <t>Part 3   + Standalone assets (excess cash and short-term investments)</t>
        </is>
      </c>
      <c r="B10" s="25">
        <f>B68</f>
        <v/>
      </c>
    </row>
    <row r="11">
      <c r="A11" t="inlineStr">
        <is>
          <t>Part 4   − Total debt-like items</t>
        </is>
      </c>
      <c r="B11" s="25">
        <f>-B75</f>
        <v/>
      </c>
      <c r="H11" s="2" t="inlineStr">
        <is>
          <t>Funded debt + operating leases + the PV of off-balance-sheet hosting commitments. Detail and alternative conventions in §F and §G(ii).</t>
        </is>
      </c>
    </row>
    <row r="12">
      <c r="A12" s="9" t="inlineStr">
        <is>
          <t xml:space="preserve">            = EQUITY VALUE</t>
        </is>
      </c>
      <c r="B12" s="16">
        <f>B9+B10+B11</f>
        <v/>
      </c>
    </row>
    <row r="13">
      <c r="A13" t="inlineStr">
        <is>
          <t xml:space="preserve">            ÷ diluted shares outstanding (M)</t>
        </is>
      </c>
      <c r="B13" s="31">
        <f>'1. Inputs'!$B$32</f>
        <v/>
      </c>
    </row>
    <row r="14">
      <c r="A14" s="28" t="inlineStr">
        <is>
          <t xml:space="preserve"> = INTRINSIC VALUE PER DILUTED SHARE</t>
        </is>
      </c>
      <c r="B14" s="45">
        <f>B12/B13</f>
        <v/>
      </c>
      <c r="H14" s="2" t="inlineStr">
        <is>
          <t>valuation.md §1. The probability-weighted headline. §E shows the same walk for each scenario separately — the range is roughly 4.7x from least to most favourable, which is the honest measure of how open the question is.</t>
        </is>
      </c>
    </row>
    <row r="16">
      <c r="A16" t="inlineStr">
        <is>
          <t xml:space="preserve">  memo: terminal value as % of enterprise value</t>
        </is>
      </c>
      <c r="B16" s="27">
        <f>B8/B9</f>
        <v/>
      </c>
      <c r="H16" s="2" t="inlineStr">
        <is>
          <t>~72%. The answer is dominated by the terminal multiple, not by the five-year forecast. terminal_value.md §1 also flags that 38% of the probability-weighted terminal value comes from the 20%-probability bull case.</t>
        </is>
      </c>
    </row>
    <row r="18">
      <c r="A18" s="6" t="inlineStr">
        <is>
          <t>§B.  TERMINAL VALUE AT FY2030 YEAR-END, BY SCENARIO (undiscounted, enterprise basis)</t>
        </is>
      </c>
      <c r="B18" s="6" t="n"/>
      <c r="C18" s="6" t="n"/>
      <c r="D18" s="6" t="n"/>
      <c r="E18" s="6" t="n"/>
      <c r="F18" s="6" t="n"/>
      <c r="G18" s="6" t="n"/>
      <c r="H18" s="6" t="n"/>
    </row>
    <row r="20">
      <c r="A20" s="39" t="inlineStr">
        <is>
          <t>($M unless noted)</t>
        </is>
      </c>
      <c r="B20" s="8" t="inlineStr">
        <is>
          <t>SEVERE</t>
        </is>
      </c>
      <c r="C20" s="8" t="inlineStr">
        <is>
          <t>BEAR</t>
        </is>
      </c>
      <c r="D20" s="8" t="inlineStr">
        <is>
          <t>BASE</t>
        </is>
      </c>
      <c r="E20" s="8" t="inlineStr">
        <is>
          <t>BULL</t>
        </is>
      </c>
      <c r="F20" s="8" t="inlineStr">
        <is>
          <t>WEIGHTED</t>
        </is>
      </c>
    </row>
    <row r="21">
      <c r="A21" t="inlineStr">
        <is>
          <t>Probability</t>
        </is>
      </c>
      <c r="B21" s="27">
        <f>'1. Inputs'!$B$17</f>
        <v/>
      </c>
      <c r="C21" s="27">
        <f>'1. Inputs'!$B$18</f>
        <v/>
      </c>
      <c r="D21" s="27">
        <f>'1. Inputs'!$B$19</f>
        <v/>
      </c>
      <c r="E21" s="27">
        <f>'1. Inputs'!$B$20</f>
        <v/>
      </c>
      <c r="F21" s="27">
        <f>SUM(B21:E21)</f>
        <v/>
      </c>
      <c r="H21" s="2" t="inlineStr">
        <is>
          <t>From sheet 1 §B. The WEIGHTED column here is the check that they sum to 100%.</t>
        </is>
      </c>
    </row>
    <row r="22">
      <c r="A22" t="inlineStr">
        <is>
          <t>FY2030E owners' earnings</t>
        </is>
      </c>
      <c r="B22" s="25">
        <f>'2. Owners Earnings'!J178</f>
        <v/>
      </c>
      <c r="C22" s="25">
        <f>'2. Owners Earnings'!J179</f>
        <v/>
      </c>
      <c r="D22" s="25">
        <f>'2. Owners Earnings'!J180</f>
        <v/>
      </c>
      <c r="E22" s="25">
        <f>'2. Owners Earnings'!J181</f>
        <v/>
      </c>
      <c r="F22" s="25">
        <f>'2. Owners Earnings'!J182</f>
        <v/>
      </c>
      <c r="H22" s="2" t="inlineStr">
        <is>
          <t>Sheet 2 §7 — the end point of each scenario's owners'-earnings path.</t>
        </is>
      </c>
    </row>
    <row r="23">
      <c r="A23" t="inlineStr">
        <is>
          <t>Terminal multiple (x FY2030E owners' earnings)</t>
        </is>
      </c>
      <c r="B23" s="33">
        <f>'1. Inputs'!$C$17</f>
        <v/>
      </c>
      <c r="C23" s="33">
        <f>'1. Inputs'!$C$18</f>
        <v/>
      </c>
      <c r="D23" s="33">
        <f>'1. Inputs'!$C$19</f>
        <v/>
      </c>
      <c r="E23" s="33">
        <f>'1. Inputs'!$C$20</f>
        <v/>
      </c>
      <c r="F23" s="33">
        <f>F25/F22</f>
        <v/>
      </c>
      <c r="H23" s="2" t="inlineStr">
        <is>
          <t>ANALYST JUDGMENT (terminal_value.md §6.2), cross-checked in §C. Each multiple is applied to ITS OWN scenario's earnings; a multiple is never applied to blended earnings. The WEIGHTED cell is therefore an OUTPUT — the multiple implied by the weighted terminal value divided by the weighted FY2030E earnings ( = 15.3x, terminal_value.md §1). Note this is NOT the probability-weighted average of the four multiples, which is 14.2x: the higher-earnings scenarios also carry the higher multiples, so the implied multiple exceeds the simple mean.</t>
        </is>
      </c>
    </row>
    <row r="24">
      <c r="A24" t="inlineStr">
        <is>
          <t xml:space="preserve">  memo: probability-weighted AVERAGE of the four multiples</t>
        </is>
      </c>
      <c r="F24" s="33">
        <f>B21*B23+C21*C23+D21*D23+E21*E23</f>
        <v/>
      </c>
      <c r="H24" s="2" t="inlineStr">
        <is>
          <t>Shown only to make the distinction above explicit. This figure is NOT used anywhere in the valuation.</t>
        </is>
      </c>
    </row>
    <row r="25">
      <c r="A25" s="9" t="inlineStr">
        <is>
          <t>TERMINAL VALUE at FY2030 year-end</t>
        </is>
      </c>
      <c r="B25" s="16">
        <f>B23*B22</f>
        <v/>
      </c>
      <c r="C25" s="16">
        <f>C23*C22</f>
        <v/>
      </c>
      <c r="D25" s="16">
        <f>D23*D22</f>
        <v/>
      </c>
      <c r="E25" s="16">
        <f>E23*E22</f>
        <v/>
      </c>
      <c r="F25" s="16">
        <f>B21*B25+C21*C25+D21*D25+E21*E25</f>
        <v/>
      </c>
      <c r="H25" s="2" t="inlineStr">
        <is>
          <t>terminal_value.md §1: $42.2bn / $89.2bn / $161.2bn / $286.8bn, weighted $150.4bn. Applying a single 15x to weighted earnings instead would give $147.5bn, 'only 1.9% away' — the weighting method is not doing the work.</t>
        </is>
      </c>
    </row>
    <row r="26">
      <c r="A26" t="inlineStr">
        <is>
          <t xml:space="preserve">  share of the weighted terminal value</t>
        </is>
      </c>
      <c r="B26" s="27">
        <f>B21*B25/$F25</f>
        <v/>
      </c>
      <c r="C26" s="27">
        <f>C21*C25/$F25</f>
        <v/>
      </c>
      <c r="D26" s="27">
        <f>D21*D25/$F25</f>
        <v/>
      </c>
      <c r="E26" s="27">
        <f>E21*E25/$F25</f>
        <v/>
      </c>
      <c r="H26" s="2" t="inlineStr">
        <is>
          <t>terminal_value.md §1. Note the bull case supplies ~38% of the weighted terminal value on a 20% probability — the single largest concentration of judgment in the valuation.</t>
        </is>
      </c>
    </row>
    <row r="28">
      <c r="A28" s="6" t="inlineStr">
        <is>
          <t>§C.  CROSS-CHECK ON THE TERMINAL MULTIPLES — GORDON PERPETUITY GRID</t>
        </is>
      </c>
      <c r="B28" s="6" t="n"/>
      <c r="C28" s="6" t="n"/>
      <c r="D28" s="6" t="n"/>
      <c r="E28" s="6" t="n"/>
      <c r="F28" s="6" t="n"/>
      <c r="G28" s="6" t="n"/>
      <c r="H28" s="6" t="n"/>
    </row>
    <row r="29">
      <c r="A29" s="2" t="inlineStr">
        <is>
          <t>Value / owners' earnings = (1 − g / ROIC) / (r − g). The (1 − g/ROIC) term is the reinvestment drag: growth is not free, it must be funded out of earnings. terminal_value.md §6.1 runs this grid at ROIC ~70% (sheet 1 §A) and rejects a third-party 11.53% WACC as too high, using an 8-10% band instead. This grid is a SANITY CHECK on the judgment multiples in §B — it does not feed the valuation.</t>
        </is>
      </c>
    </row>
    <row r="31">
      <c r="A31" s="39" t="inlineStr">
        <is>
          <t>perpetual growth g  \  discount rate r</t>
        </is>
      </c>
      <c r="B31" s="46" t="n">
        <v>0.08</v>
      </c>
      <c r="C31" s="46" t="n">
        <v>0.09</v>
      </c>
      <c r="D31" s="46" t="n">
        <v>0.1</v>
      </c>
      <c r="E31" s="46" t="n">
        <v>0.11</v>
      </c>
    </row>
    <row r="32">
      <c r="A32" s="7" t="n">
        <v>-0.03</v>
      </c>
      <c r="B32" s="33">
        <f>(1-$A32/'1. Inputs'!$B$13)/(B$31-$A32)</f>
        <v/>
      </c>
      <c r="C32" s="33">
        <f>(1-$A32/'1. Inputs'!$B$13)/(C$31-$A32)</f>
        <v/>
      </c>
      <c r="D32" s="33">
        <f>(1-$A32/'1. Inputs'!$B$13)/(D$31-$A32)</f>
        <v/>
      </c>
      <c r="E32" s="33">
        <f>(1-$A32/'1. Inputs'!$B$13)/(E$31-$A32)</f>
        <v/>
      </c>
      <c r="H32" s="2" t="inlineStr">
        <is>
          <t>Read against §B: SEVERE 7x sits below the g=-3% row; BEAR 11x between g=0% and g=1%; BASE 15x just under the g=3%, r=9% cell (16.0x); BULL 22x just above g=4%, r=8.5%. Each judgment multiple is therefore internally consistent with a plausible (g, r) pair rather than picked freehand.</t>
        </is>
      </c>
    </row>
    <row r="33">
      <c r="A33" s="7" t="n">
        <v>0</v>
      </c>
      <c r="B33" s="33">
        <f>(1-$A33/'1. Inputs'!$B$13)/(B$31-$A33)</f>
        <v/>
      </c>
      <c r="C33" s="33">
        <f>(1-$A33/'1. Inputs'!$B$13)/(C$31-$A33)</f>
        <v/>
      </c>
      <c r="D33" s="33">
        <f>(1-$A33/'1. Inputs'!$B$13)/(D$31-$A33)</f>
        <v/>
      </c>
      <c r="E33" s="33">
        <f>(1-$A33/'1. Inputs'!$B$13)/(E$31-$A33)</f>
        <v/>
      </c>
    </row>
    <row r="34">
      <c r="A34" s="7" t="n">
        <v>0.01</v>
      </c>
      <c r="B34" s="33">
        <f>(1-$A34/'1. Inputs'!$B$13)/(B$31-$A34)</f>
        <v/>
      </c>
      <c r="C34" s="33">
        <f>(1-$A34/'1. Inputs'!$B$13)/(C$31-$A34)</f>
        <v/>
      </c>
      <c r="D34" s="33">
        <f>(1-$A34/'1. Inputs'!$B$13)/(D$31-$A34)</f>
        <v/>
      </c>
      <c r="E34" s="33">
        <f>(1-$A34/'1. Inputs'!$B$13)/(E$31-$A34)</f>
        <v/>
      </c>
    </row>
    <row r="35">
      <c r="A35" s="7" t="n">
        <v>0.02</v>
      </c>
      <c r="B35" s="33">
        <f>(1-$A35/'1. Inputs'!$B$13)/(B$31-$A35)</f>
        <v/>
      </c>
      <c r="C35" s="33">
        <f>(1-$A35/'1. Inputs'!$B$13)/(C$31-$A35)</f>
        <v/>
      </c>
      <c r="D35" s="33">
        <f>(1-$A35/'1. Inputs'!$B$13)/(D$31-$A35)</f>
        <v/>
      </c>
      <c r="E35" s="33">
        <f>(1-$A35/'1. Inputs'!$B$13)/(E$31-$A35)</f>
        <v/>
      </c>
    </row>
    <row r="36">
      <c r="A36" s="7" t="n">
        <v>0.03</v>
      </c>
      <c r="B36" s="33">
        <f>(1-$A36/'1. Inputs'!$B$13)/(B$31-$A36)</f>
        <v/>
      </c>
      <c r="C36" s="33">
        <f>(1-$A36/'1. Inputs'!$B$13)/(C$31-$A36)</f>
        <v/>
      </c>
      <c r="D36" s="33">
        <f>(1-$A36/'1. Inputs'!$B$13)/(D$31-$A36)</f>
        <v/>
      </c>
      <c r="E36" s="33">
        <f>(1-$A36/'1. Inputs'!$B$13)/(E$31-$A36)</f>
        <v/>
      </c>
    </row>
    <row r="37">
      <c r="A37" s="7" t="n">
        <v>0.04</v>
      </c>
      <c r="B37" s="33">
        <f>(1-$A37/'1. Inputs'!$B$13)/(B$31-$A37)</f>
        <v/>
      </c>
      <c r="C37" s="33">
        <f>(1-$A37/'1. Inputs'!$B$13)/(C$31-$A37)</f>
        <v/>
      </c>
      <c r="D37" s="33">
        <f>(1-$A37/'1. Inputs'!$B$13)/(D$31-$A37)</f>
        <v/>
      </c>
      <c r="E37" s="33">
        <f>(1-$A37/'1. Inputs'!$B$13)/(E$31-$A37)</f>
        <v/>
      </c>
    </row>
    <row r="39">
      <c r="A39" s="2" t="inlineStr">
        <is>
          <t>Peer anchors at 31 Aug 2026 (fetched_docs/peer_multiples_compare_2026.md, terminal_value.md §5): mature large-cap software trailing P/E median 27.2x (MSFT 28.6x, SAP 28.8x, ORCL 25.9x, CRM 23.7x, INTU 21.8x, ADSK 33.8x); ex-growth / disruption-discounted median 18.8x (DBX 19.7x, GEN 18.0x, ZM 9.0x, DOCU 41.6x). ADBE itself trades at 16.7x trailing owners' earnings, a 59% de-rating from its own FY2021-FY2025 median of 40.9x. Peer P/Es are read directly against owners'-earnings multiples because TTM owners' earnings ($7,490M) sit only 3.6% above TTM GAAP net income ($7,230M) — terminal_value.md §2.</t>
        </is>
      </c>
    </row>
    <row r="41">
      <c r="A41" s="6" t="inlineStr">
        <is>
          <t>§D.  DISCOUNTING</t>
        </is>
      </c>
      <c r="B41" s="6" t="n"/>
      <c r="C41" s="6" t="n"/>
      <c r="D41" s="6" t="n"/>
      <c r="E41" s="6" t="n"/>
      <c r="F41" s="6" t="n"/>
      <c r="G41" s="6" t="n"/>
      <c r="H41" s="6" t="n"/>
    </row>
    <row r="42">
      <c r="A42" s="2" t="inlineStr">
        <is>
          <t>valuation.md §2: the current fiscal year is t=0 and is NOT discounted. As of the 1 Sep 2026 valuation date Adobe is inside FY2026, so FY2026E = t=0. The terminal value is the value of the business AT THE END of FY2030, realised at the same moment as the FY2030 flow, so it is discounted at the same t=4 factor — not t=5.</t>
        </is>
      </c>
    </row>
    <row r="44">
      <c r="A44" s="39" t="inlineStr">
        <is>
          <t>($M unless noted)</t>
        </is>
      </c>
      <c r="B44" s="8" t="inlineStr">
        <is>
          <t>FY2026E</t>
        </is>
      </c>
      <c r="C44" s="8" t="inlineStr">
        <is>
          <t>FY2027E</t>
        </is>
      </c>
      <c r="D44" s="8" t="inlineStr">
        <is>
          <t>FY2028E</t>
        </is>
      </c>
      <c r="E44" s="8" t="inlineStr">
        <is>
          <t>FY2029E</t>
        </is>
      </c>
      <c r="F44" s="8" t="inlineStr">
        <is>
          <t>FY2030E</t>
        </is>
      </c>
    </row>
    <row r="45">
      <c r="A45" t="inlineStr">
        <is>
          <t>t (years discounted)</t>
        </is>
      </c>
      <c r="B45" s="25" t="n">
        <v>0</v>
      </c>
      <c r="C45" s="25" t="n">
        <v>1</v>
      </c>
      <c r="D45" s="25" t="n">
        <v>2</v>
      </c>
      <c r="E45" s="25" t="n">
        <v>3</v>
      </c>
      <c r="F45" s="25" t="n">
        <v>4</v>
      </c>
    </row>
    <row r="46">
      <c r="A46" t="inlineStr">
        <is>
          <t>Discount factor  = 1 / (1 + r)^t</t>
        </is>
      </c>
      <c r="B46" s="36">
        <f>1/(1+'1. Inputs'!$B$9)^B45</f>
        <v/>
      </c>
      <c r="C46" s="36">
        <f>1/(1+'1. Inputs'!$B$9)^C45</f>
        <v/>
      </c>
      <c r="D46" s="36">
        <f>1/(1+'1. Inputs'!$B$9)^D45</f>
        <v/>
      </c>
      <c r="E46" s="36">
        <f>1/(1+'1. Inputs'!$B$9)^E45</f>
        <v/>
      </c>
      <c r="F46" s="36">
        <f>1/(1+'1. Inputs'!$B$9)^F45</f>
        <v/>
      </c>
      <c r="H46" s="2" t="inlineStr">
        <is>
          <t>r is the single input at sheet 1 cell B9. At 15% the factors are 1.0000 / 0.8696 / 0.7561 / 0.6575 / 0.5718.</t>
        </is>
      </c>
    </row>
    <row r="48">
      <c r="A48" s="6" t="inlineStr">
        <is>
          <t>§E.  FULL VALUATION BY SCENARIO — the four 'parts' behind the headline</t>
        </is>
      </c>
      <c r="B48" s="6" t="n"/>
      <c r="C48" s="6" t="n"/>
      <c r="D48" s="6" t="n"/>
      <c r="E48" s="6" t="n"/>
      <c r="F48" s="6" t="n"/>
      <c r="G48" s="6" t="n"/>
      <c r="H48" s="6" t="n"/>
    </row>
    <row r="50">
      <c r="A50" s="39" t="inlineStr">
        <is>
          <t>($M unless noted)</t>
        </is>
      </c>
      <c r="B50" s="8" t="inlineStr">
        <is>
          <t>SEVERE</t>
        </is>
      </c>
      <c r="C50" s="8" t="inlineStr">
        <is>
          <t>BEAR</t>
        </is>
      </c>
      <c r="D50" s="8" t="inlineStr">
        <is>
          <t>BASE</t>
        </is>
      </c>
      <c r="E50" s="8" t="inlineStr">
        <is>
          <t>BULL</t>
        </is>
      </c>
      <c r="F50" s="8" t="inlineStr">
        <is>
          <t>WEIGHTED</t>
        </is>
      </c>
    </row>
    <row r="51">
      <c r="A51" t="inlineStr">
        <is>
          <t>Part 1  PV of owners' earnings, FY2026E-FY2030E</t>
        </is>
      </c>
      <c r="B51" s="25">
        <f>SUMPRODUCT('2. Owners Earnings'!$F$178:$J$178,$B46:$F46)</f>
        <v/>
      </c>
      <c r="C51" s="25">
        <f>SUMPRODUCT('2. Owners Earnings'!$F$179:$J$179,$B46:$F46)</f>
        <v/>
      </c>
      <c r="D51" s="25">
        <f>SUMPRODUCT('2. Owners Earnings'!$F$180:$J$180,$B46:$F46)</f>
        <v/>
      </c>
      <c r="E51" s="25">
        <f>SUMPRODUCT('2. Owners Earnings'!$F$181:$J$181,$B46:$F46)</f>
        <v/>
      </c>
      <c r="F51" s="25">
        <f>SUMPRODUCT('2. Owners Earnings'!$F$182:$J$182,$B46:$F46)</f>
        <v/>
      </c>
      <c r="H51" s="2" t="inlineStr">
        <is>
          <t>Each scenario's own owners'-earnings path (sheet 2 §7) times the discount factors in §D.</t>
        </is>
      </c>
    </row>
    <row r="52">
      <c r="A52" t="inlineStr">
        <is>
          <t>Part 2  PV of terminal value (discounted at t=4)</t>
        </is>
      </c>
      <c r="B52" s="25">
        <f>B25*$F46</f>
        <v/>
      </c>
      <c r="C52" s="25">
        <f>C25*$F46</f>
        <v/>
      </c>
      <c r="D52" s="25">
        <f>D25*$F46</f>
        <v/>
      </c>
      <c r="E52" s="25">
        <f>E25*$F46</f>
        <v/>
      </c>
      <c r="F52" s="25">
        <f>F25*$F46</f>
        <v/>
      </c>
      <c r="H52" s="2" t="inlineStr">
        <is>
          <t>The terminal values from §B brought back four years.</t>
        </is>
      </c>
    </row>
    <row r="53">
      <c r="A53" s="9" t="inlineStr">
        <is>
          <t xml:space="preserve">           = ENTERPRISE VALUE</t>
        </is>
      </c>
      <c r="B53" s="16">
        <f>B51+B52</f>
        <v/>
      </c>
      <c r="C53" s="16">
        <f>C51+C52</f>
        <v/>
      </c>
      <c r="D53" s="16">
        <f>D51+D52</f>
        <v/>
      </c>
      <c r="E53" s="16">
        <f>E51+E52</f>
        <v/>
      </c>
      <c r="F53" s="16">
        <f>F51+F52</f>
        <v/>
      </c>
    </row>
    <row r="54">
      <c r="A54" t="inlineStr">
        <is>
          <t>Part 3  + Standalone assets</t>
        </is>
      </c>
      <c r="B54" s="25">
        <f>$B68</f>
        <v/>
      </c>
      <c r="C54" s="25">
        <f>$B68</f>
        <v/>
      </c>
      <c r="D54" s="25">
        <f>$B68</f>
        <v/>
      </c>
      <c r="E54" s="25">
        <f>$B68</f>
        <v/>
      </c>
      <c r="F54" s="25">
        <f>$B68</f>
        <v/>
      </c>
    </row>
    <row r="55">
      <c r="A55" t="inlineStr">
        <is>
          <t>Part 4  − Total debt-like items</t>
        </is>
      </c>
      <c r="B55" s="25">
        <f>-$B75</f>
        <v/>
      </c>
      <c r="C55" s="25">
        <f>-$B75</f>
        <v/>
      </c>
      <c r="D55" s="25">
        <f>-$B75</f>
        <v/>
      </c>
      <c r="E55" s="25">
        <f>-$B75</f>
        <v/>
      </c>
      <c r="F55" s="25">
        <f>-$B75</f>
        <v/>
      </c>
      <c r="H55" s="2" t="inlineStr">
        <is>
          <t>Identical in every scenario: the bridge is struck on today's balance sheet, not forecast forward. terminal_value.md §9 notes FY2030 net debt should stay ~1% of a ~$150bn EV IF the buyback throttles to ~90% of owners' earnings; at the FY2024-25 pace of ~1.5x, 'the equity bridge stops being immaterial'. That risk is NOT modelled here.</t>
        </is>
      </c>
    </row>
    <row r="56">
      <c r="A56" s="9" t="inlineStr">
        <is>
          <t xml:space="preserve">           = EQUITY VALUE</t>
        </is>
      </c>
      <c r="B56" s="16">
        <f>B53+B54+B55</f>
        <v/>
      </c>
      <c r="C56" s="16">
        <f>C53+C54+C55</f>
        <v/>
      </c>
      <c r="D56" s="16">
        <f>D53+D54+D55</f>
        <v/>
      </c>
      <c r="E56" s="16">
        <f>E53+E54+E55</f>
        <v/>
      </c>
      <c r="F56" s="16">
        <f>F53+F54+F55</f>
        <v/>
      </c>
    </row>
    <row r="57">
      <c r="A57" t="inlineStr">
        <is>
          <t xml:space="preserve">           ÷ diluted shares (M)</t>
        </is>
      </c>
      <c r="B57" s="31">
        <f>'1. Inputs'!$B$32</f>
        <v/>
      </c>
      <c r="C57" s="31">
        <f>'1. Inputs'!$B$32</f>
        <v/>
      </c>
      <c r="D57" s="31">
        <f>'1. Inputs'!$B$32</f>
        <v/>
      </c>
      <c r="E57" s="31">
        <f>'1. Inputs'!$B$32</f>
        <v/>
      </c>
      <c r="F57" s="31">
        <f>'1. Inputs'!$B$32</f>
        <v/>
      </c>
    </row>
    <row r="58">
      <c r="A58" s="28" t="inlineStr">
        <is>
          <t xml:space="preserve"> = INTRINSIC VALUE PER DILUTED SHARE</t>
        </is>
      </c>
      <c r="B58" s="45">
        <f>B56/B57</f>
        <v/>
      </c>
      <c r="C58" s="45">
        <f>C56/C57</f>
        <v/>
      </c>
      <c r="D58" s="45">
        <f>D56/D57</f>
        <v/>
      </c>
      <c r="E58" s="45">
        <f>E56/E57</f>
        <v/>
      </c>
      <c r="F58" s="45">
        <f>F56/F57</f>
        <v/>
      </c>
      <c r="H58" s="2" t="inlineStr">
        <is>
          <t>valuation.md §1: ~$104 / ~$183 / ~$298 / ~$487, weighted ~$278.</t>
        </is>
      </c>
    </row>
    <row r="59">
      <c r="A59" t="inlineStr">
        <is>
          <t xml:space="preserve">  memo: terminal value as % of enterprise value</t>
        </is>
      </c>
      <c r="B59" s="27">
        <f>B52/B53</f>
        <v/>
      </c>
      <c r="C59" s="27">
        <f>C52/C53</f>
        <v/>
      </c>
      <c r="D59" s="27">
        <f>D52/D53</f>
        <v/>
      </c>
      <c r="E59" s="27">
        <f>E52/E53</f>
        <v/>
      </c>
      <c r="F59" s="27">
        <f>F52/F53</f>
        <v/>
      </c>
    </row>
    <row r="60">
      <c r="A60" t="inlineStr">
        <is>
          <t xml:space="preserve">  cross-check: probability-weighted average of the four per-share values</t>
        </is>
      </c>
      <c r="F60" s="47">
        <f>B21*B58+C21*C58+D21*D58+E21*E58</f>
        <v/>
      </c>
      <c r="H60" s="2" t="inlineStr">
        <is>
          <t>Discounting is linear, so this MUST equal the WEIGHTED column above. A real internal-consistency check: it confirms the cash-flow stream and the terminal value are weighted on the same probabilities and combined exactly once. valuation.md §2.1 reports the two agree 'to the cent'.</t>
        </is>
      </c>
    </row>
    <row r="61">
      <c r="A61" t="inlineStr">
        <is>
          <t xml:space="preserve">  difference (must be 0)</t>
        </is>
      </c>
      <c r="F61" s="36">
        <f>F60-F58</f>
        <v/>
      </c>
    </row>
    <row r="63">
      <c r="A63" s="6" t="inlineStr">
        <is>
          <t>§F.  THE EQUITY BRIDGE — standalone assets and all debt-like items (Q2 FY2026 balance sheet, 29 May 2026)</t>
        </is>
      </c>
      <c r="B63" s="6" t="n"/>
      <c r="C63" s="6" t="n"/>
      <c r="D63" s="6" t="n"/>
      <c r="E63" s="6" t="n"/>
      <c r="F63" s="6" t="n"/>
      <c r="G63" s="6" t="n"/>
      <c r="H63" s="6" t="n"/>
    </row>
    <row r="65">
      <c r="A65" t="inlineStr">
        <is>
          <t>Cash and cash equivalents</t>
        </is>
      </c>
      <c r="B65" s="25">
        <f>'1. Inputs'!$B$24</f>
        <v/>
      </c>
    </row>
    <row r="66">
      <c r="A66" t="inlineStr">
        <is>
          <t>Short-term investments</t>
        </is>
      </c>
      <c r="B66" s="25">
        <f>'1. Inputs'!$B$25</f>
        <v/>
      </c>
    </row>
    <row r="67">
      <c r="A67" t="inlineStr">
        <is>
          <t>− operating cash need (2% of TTM revenue)</t>
        </is>
      </c>
      <c r="B67" s="25">
        <f>-'1. Inputs'!$B$12*'2. Owners Earnings'!$E$11</f>
        <v/>
      </c>
      <c r="H67" s="2" t="inlineStr">
        <is>
          <t>owners_earnings_and_roic.md §4: 'Adobe collects in advance and runs negative working capital, so its genuine operating cash requirement is small. ... This is an assumption, not a sourced figure.' 2% of TTM revenue = ~$504M.</t>
        </is>
      </c>
    </row>
    <row r="68">
      <c r="A68" s="9" t="inlineStr">
        <is>
          <t xml:space="preserve"> = STANDALONE ASSETS</t>
        </is>
      </c>
      <c r="B68" s="16">
        <f>SUM(B65:B67)</f>
        <v/>
      </c>
    </row>
    <row r="70">
      <c r="A70" t="inlineStr">
        <is>
          <t>Debt, current (incl. commercial paper), carrying value</t>
        </is>
      </c>
      <c r="B70" s="25">
        <f>'1. Inputs'!$B$26</f>
        <v/>
      </c>
    </row>
    <row r="71">
      <c r="A71" t="inlineStr">
        <is>
          <t>Debt, long-term, carrying value</t>
        </is>
      </c>
      <c r="B71" s="25">
        <f>'1. Inputs'!$B$27</f>
        <v/>
      </c>
    </row>
    <row r="72">
      <c r="A72" t="inlineStr">
        <is>
          <t>Operating lease liabilities, current</t>
        </is>
      </c>
      <c r="B72" s="25">
        <f>'1. Inputs'!$B$28</f>
        <v/>
      </c>
    </row>
    <row r="73">
      <c r="A73" t="inlineStr">
        <is>
          <t>Operating lease liabilities, long-term</t>
        </is>
      </c>
      <c r="B73" s="25">
        <f>'1. Inputs'!$B$29</f>
        <v/>
      </c>
    </row>
    <row r="74">
      <c r="A74" t="inlineStr">
        <is>
          <t>Off-balance-sheet hosting purchase obligations, PV @ 5%</t>
        </is>
      </c>
      <c r="B74" s="25">
        <f>'1. Inputs'!$B$43</f>
        <v/>
      </c>
      <c r="H74" s="2" t="inlineStr">
        <is>
          <t>A DISCLOSED JUDGMENT CALL, and the largest single swing in the bridge. The brief lists off-balance-sheet commitments as debt, and the same rule is applied symmetrically to operating leases. §G(ii) prices the alternatives.</t>
        </is>
      </c>
    </row>
    <row r="75">
      <c r="A75" s="9" t="inlineStr">
        <is>
          <t xml:space="preserve"> = TOTAL DEBT-LIKE ITEMS</t>
        </is>
      </c>
      <c r="B75" s="16">
        <f>SUM(B70:B74)</f>
        <v/>
      </c>
    </row>
    <row r="76">
      <c r="A76" s="9" t="inlineStr">
        <is>
          <t>Net standalone assets less debt</t>
        </is>
      </c>
      <c r="B76" s="23">
        <f>B68-B75</f>
        <v/>
      </c>
      <c r="H76" s="2" t="inlineStr">
        <is>
          <t>~−$8.2bn, roughly $20/share of drag. NOT included: legal contingencies — Adobe is 'unable to estimate a reasonably possible financial loss or range of financial loss, if any' on the securities class action and derivative actions (Q2 FY2026 10-Q Note 13). That is flagged as an UNQUANTIFIED RISK, not a zero. No defined-benefit pension is disclosed.</t>
        </is>
      </c>
    </row>
    <row r="78">
      <c r="A78" s="6" t="inlineStr">
        <is>
          <t>§G.  SENSITIVITY — the three assumptions that actually move the answer</t>
        </is>
      </c>
      <c r="B78" s="6" t="n"/>
      <c r="C78" s="6" t="n"/>
      <c r="D78" s="6" t="n"/>
      <c r="E78" s="6" t="n"/>
      <c r="F78" s="6" t="n"/>
      <c r="G78" s="6" t="n"/>
      <c r="H78" s="6" t="n"/>
    </row>
    <row r="80">
      <c r="A80" s="19" t="inlineStr">
        <is>
          <t xml:space="preserve">  (i) Discount rate  (probability-weighted path throughout)</t>
        </is>
      </c>
      <c r="B80" s="19" t="n"/>
      <c r="C80" s="19" t="n"/>
      <c r="D80" s="19" t="n"/>
      <c r="E80" s="19" t="n"/>
      <c r="F80" s="19" t="n"/>
      <c r="G80" s="19" t="n"/>
      <c r="H80" s="19" t="n"/>
    </row>
    <row r="81">
      <c r="A81" s="39" t="inlineStr">
        <is>
          <t>Discount rate</t>
        </is>
      </c>
      <c r="B81" s="8" t="inlineStr">
        <is>
          <t>PV(OE)</t>
        </is>
      </c>
      <c r="C81" s="8" t="inlineStr">
        <is>
          <t>PV(TV)</t>
        </is>
      </c>
      <c r="D81" s="8" t="inlineStr">
        <is>
          <t>Enterprise value</t>
        </is>
      </c>
      <c r="E81" s="8" t="inlineStr">
        <is>
          <t>Value / share</t>
        </is>
      </c>
      <c r="F81" s="8" t="inlineStr">
        <is>
          <t>TV % of EV</t>
        </is>
      </c>
      <c r="H81" s="2" t="inlineStr">
        <is>
          <t>The discount rate is a STATED variable, not a fitted one (valuation.md §5.2). A 5-point change moves the per-share answer by roughly 14-16% — large, but not large enough to change the sign of the conclusion on its own.</t>
        </is>
      </c>
    </row>
    <row r="82">
      <c r="A82" s="7" t="n">
        <v>0.1</v>
      </c>
      <c r="B82" s="25">
        <f>SUMPRODUCT('2. Owners Earnings'!$F$182:$J$182,1/(1+$A82)^(COLUMN('2. Owners Earnings'!$F$182:$J$182)-COLUMN('2. Owners Earnings'!$F$182)))</f>
        <v/>
      </c>
      <c r="C82" s="25">
        <f>$F25/(1+$A82)^4</f>
        <v/>
      </c>
      <c r="D82" s="25">
        <f>B82+C82</f>
        <v/>
      </c>
      <c r="E82" s="48">
        <f>(D82+$B68-$B75)/'1. Inputs'!$B$32</f>
        <v/>
      </c>
      <c r="F82" s="27">
        <f>C82/D82</f>
        <v/>
      </c>
    </row>
    <row r="83">
      <c r="A83" s="7" t="n">
        <v>0.125</v>
      </c>
      <c r="B83" s="25">
        <f>SUMPRODUCT('2. Owners Earnings'!$F$182:$J$182,1/(1+$A83)^(COLUMN('2. Owners Earnings'!$F$182:$J$182)-COLUMN('2. Owners Earnings'!$F$182)))</f>
        <v/>
      </c>
      <c r="C83" s="25">
        <f>$F25/(1+$A83)^4</f>
        <v/>
      </c>
      <c r="D83" s="25">
        <f>B83+C83</f>
        <v/>
      </c>
      <c r="E83" s="48">
        <f>(D83+$B68-$B75)/'1. Inputs'!$B$32</f>
        <v/>
      </c>
      <c r="F83" s="27">
        <f>C83/D83</f>
        <v/>
      </c>
    </row>
    <row r="84">
      <c r="A84" s="49" t="n">
        <v>0.15</v>
      </c>
      <c r="B84" s="23">
        <f>SUMPRODUCT('2. Owners Earnings'!$F$182:$J$182,1/(1+$A84)^(COLUMN('2. Owners Earnings'!$F$182:$J$182)-COLUMN('2. Owners Earnings'!$F$182)))</f>
        <v/>
      </c>
      <c r="C84" s="23">
        <f>$F25/(1+$A84)^4</f>
        <v/>
      </c>
      <c r="D84" s="23">
        <f>B84+C84</f>
        <v/>
      </c>
      <c r="E84" s="50">
        <f>(D84+$B68-$B75)/'1. Inputs'!$B$32</f>
        <v/>
      </c>
      <c r="F84" s="24">
        <f>C84/D84</f>
        <v/>
      </c>
    </row>
    <row r="85">
      <c r="A85" s="7" t="n">
        <v>0.175</v>
      </c>
      <c r="B85" s="25">
        <f>SUMPRODUCT('2. Owners Earnings'!$F$182:$J$182,1/(1+$A85)^(COLUMN('2. Owners Earnings'!$F$182:$J$182)-COLUMN('2. Owners Earnings'!$F$182)))</f>
        <v/>
      </c>
      <c r="C85" s="25">
        <f>$F25/(1+$A85)^4</f>
        <v/>
      </c>
      <c r="D85" s="25">
        <f>B85+C85</f>
        <v/>
      </c>
      <c r="E85" s="48">
        <f>(D85+$B68-$B75)/'1. Inputs'!$B$32</f>
        <v/>
      </c>
      <c r="F85" s="27">
        <f>C85/D85</f>
        <v/>
      </c>
    </row>
    <row r="86">
      <c r="A86" s="7" t="n">
        <v>0.2</v>
      </c>
      <c r="B86" s="25">
        <f>SUMPRODUCT('2. Owners Earnings'!$F$182:$J$182,1/(1+$A86)^(COLUMN('2. Owners Earnings'!$F$182:$J$182)-COLUMN('2. Owners Earnings'!$F$182)))</f>
        <v/>
      </c>
      <c r="C86" s="25">
        <f>$F25/(1+$A86)^4</f>
        <v/>
      </c>
      <c r="D86" s="25">
        <f>B86+C86</f>
        <v/>
      </c>
      <c r="E86" s="48">
        <f>(D86+$B68-$B75)/'1. Inputs'!$B$32</f>
        <v/>
      </c>
      <c r="F86" s="27">
        <f>C86/D86</f>
        <v/>
      </c>
    </row>
    <row r="88">
      <c r="A88" s="19" t="inlineStr">
        <is>
          <t xml:space="preserve">  (ii) Which items belong in the debt bridge (a disclosed judgment call)</t>
        </is>
      </c>
      <c r="B88" s="19" t="n"/>
      <c r="C88" s="19" t="n"/>
      <c r="D88" s="19" t="n"/>
      <c r="E88" s="19" t="n"/>
      <c r="F88" s="19" t="n"/>
      <c r="G88" s="19" t="n"/>
      <c r="H88" s="19" t="n"/>
    </row>
    <row r="89">
      <c r="A89" s="39" t="inlineStr">
        <is>
          <t>Convention</t>
        </is>
      </c>
      <c r="B89" s="8" t="inlineStr">
        <is>
          <t>Total debt-like</t>
        </is>
      </c>
      <c r="C89" s="8" t="inlineStr">
        <is>
          <t>Value / share</t>
        </is>
      </c>
    </row>
    <row r="90">
      <c r="A90" t="inlineStr">
        <is>
          <t xml:space="preserve">   Headline: funded debt + leases + hosting (the brief, literally)</t>
        </is>
      </c>
      <c r="B90" s="25">
        <f>$B75</f>
        <v/>
      </c>
      <c r="C90" s="48">
        <f>($F53+$B68-B90)/'1. Inputs'!$B$32</f>
        <v/>
      </c>
      <c r="H90" s="2" t="inlineStr">
        <is>
          <t>The published headline. valuation.md §3, after verifier objection 1 required leases and hosting to be treated symmetrically.</t>
        </is>
      </c>
    </row>
    <row r="91">
      <c r="A91" t="inlineStr">
        <is>
          <t xml:space="preserve">   Funded debt + leases only, hosting excluded</t>
        </is>
      </c>
      <c r="B91" s="25">
        <f>$B75-$B74</f>
        <v/>
      </c>
      <c r="C91" s="48">
        <f>($F53+$B68-B91)/'1. Inputs'!$B$32</f>
        <v/>
      </c>
    </row>
    <row r="92">
      <c r="A92" t="inlineStr">
        <is>
          <t xml:space="preserve">   Funded debt only, leases and hosting both excluded</t>
        </is>
      </c>
      <c r="B92" s="25">
        <f>SUM($B70:$B71)</f>
        <v/>
      </c>
      <c r="C92" s="48">
        <f>($F53+$B68-B92)/'1. Inputs'!$B$32</f>
        <v/>
      </c>
      <c r="H92" s="2" t="inlineStr">
        <is>
          <t>Full range across the three conventions is ~$16.74/share, a 6.0% spread — material but not decisive.</t>
        </is>
      </c>
    </row>
    <row r="94">
      <c r="A94" s="19" t="inlineStr">
        <is>
          <t xml:space="preserve">  (iii) Terminal multiples — all four scaled together</t>
        </is>
      </c>
      <c r="B94" s="19" t="n"/>
      <c r="C94" s="19" t="n"/>
      <c r="D94" s="19" t="n"/>
      <c r="E94" s="19" t="n"/>
      <c r="F94" s="19" t="n"/>
      <c r="G94" s="19" t="n"/>
      <c r="H94" s="19" t="n"/>
    </row>
    <row r="95">
      <c r="A95" s="39" t="inlineStr">
        <is>
          <t>Scaling applied to every scenario multiple</t>
        </is>
      </c>
      <c r="B95" s="8" t="inlineStr">
        <is>
          <t>Weighted TV</t>
        </is>
      </c>
      <c r="C95" s="8" t="inlineStr">
        <is>
          <t>PV of TV</t>
        </is>
      </c>
      <c r="D95" s="8" t="inlineStr">
        <is>
          <t>Enterprise value</t>
        </is>
      </c>
      <c r="E95" s="8" t="inlineStr">
        <is>
          <t>Value / share</t>
        </is>
      </c>
      <c r="H95" s="2" t="inlineStr">
        <is>
          <t>Terminal value is linear in the multiple, so a uniform scaling passes straight through. terminal_value.md §8 gives a defensible aggregate range of $120-180bn, which is the x0.8 to x1.2 band below. Because terminal value is ~72% of enterprise value, this is the single largest sensitivity on the sheet.</t>
        </is>
      </c>
    </row>
    <row r="96">
      <c r="A96" s="10" t="n">
        <v>0.8</v>
      </c>
      <c r="B96" s="25">
        <f>$A96*$F25</f>
        <v/>
      </c>
      <c r="C96" s="25">
        <f>B96*$F46</f>
        <v/>
      </c>
      <c r="D96" s="25">
        <f>$F51+C96</f>
        <v/>
      </c>
      <c r="E96" s="48">
        <f>(D96+$B68-$B75)/'1. Inputs'!$B$32</f>
        <v/>
      </c>
    </row>
    <row r="97">
      <c r="A97" s="10" t="n">
        <v>0.9</v>
      </c>
      <c r="B97" s="25">
        <f>$A97*$F25</f>
        <v/>
      </c>
      <c r="C97" s="25">
        <f>B97*$F46</f>
        <v/>
      </c>
      <c r="D97" s="25">
        <f>$F51+C97</f>
        <v/>
      </c>
      <c r="E97" s="48">
        <f>(D97+$B68-$B75)/'1. Inputs'!$B$32</f>
        <v/>
      </c>
    </row>
    <row r="98">
      <c r="A98" s="51" t="n">
        <v>1</v>
      </c>
      <c r="B98" s="23">
        <f>$A98*$F25</f>
        <v/>
      </c>
      <c r="C98" s="23">
        <f>B98*$F46</f>
        <v/>
      </c>
      <c r="D98" s="23">
        <f>$F51+C98</f>
        <v/>
      </c>
      <c r="E98" s="50">
        <f>(D98+$B68-$B75)/'1. Inputs'!$B$32</f>
        <v/>
      </c>
    </row>
    <row r="99">
      <c r="A99" s="10" t="n">
        <v>1.1</v>
      </c>
      <c r="B99" s="25">
        <f>$A99*$F25</f>
        <v/>
      </c>
      <c r="C99" s="25">
        <f>B99*$F46</f>
        <v/>
      </c>
      <c r="D99" s="25">
        <f>$F51+C99</f>
        <v/>
      </c>
      <c r="E99" s="48">
        <f>(D99+$B68-$B75)/'1. Inputs'!$B$32</f>
        <v/>
      </c>
    </row>
    <row r="100">
      <c r="A100" s="10" t="n">
        <v>1.2</v>
      </c>
      <c r="B100" s="25">
        <f>$A100*$F25</f>
        <v/>
      </c>
      <c r="C100" s="25">
        <f>B100*$F46</f>
        <v/>
      </c>
      <c r="D100" s="25">
        <f>$F51+C100</f>
        <v/>
      </c>
      <c r="E100" s="48">
        <f>(D100+$B68-$B75)/'1. Inputs'!$B$32</f>
        <v/>
      </c>
    </row>
    <row r="102">
      <c r="A102" s="6" t="inlineStr">
        <is>
          <t>§H.  CHECKS AGAINST THE PUBLISHED WORK PRODUCTS</t>
        </is>
      </c>
      <c r="B102" s="6" t="n"/>
      <c r="C102" s="6" t="n"/>
      <c r="D102" s="6" t="n"/>
      <c r="E102" s="6" t="n"/>
      <c r="F102" s="6" t="n"/>
      <c r="G102" s="6" t="n"/>
      <c r="H102" s="6" t="n"/>
    </row>
    <row r="104">
      <c r="B104" s="8" t="inlineStr">
        <is>
          <t>Model</t>
        </is>
      </c>
      <c r="C104" s="8" t="inlineStr">
        <is>
          <t>Published</t>
        </is>
      </c>
      <c r="D104" s="8" t="inlineStr">
        <is>
          <t>Diff</t>
        </is>
      </c>
    </row>
    <row r="105">
      <c r="A105" t="inlineStr">
        <is>
          <t>Terminal value, SEVERE ($M)</t>
        </is>
      </c>
      <c r="B105" s="25">
        <f>B25</f>
        <v/>
      </c>
      <c r="C105" s="12" t="n">
        <v>42154</v>
      </c>
      <c r="D105" s="42">
        <f>B105-C105</f>
        <v/>
      </c>
      <c r="H105" s="2" t="inlineStr">
        <is>
          <t>terminal_value.md §1</t>
        </is>
      </c>
    </row>
    <row r="106">
      <c r="A106" t="inlineStr">
        <is>
          <t>Terminal value, BEAR ($M)</t>
        </is>
      </c>
      <c r="B106" s="25">
        <f>C25</f>
        <v/>
      </c>
      <c r="C106" s="12" t="n">
        <v>89155</v>
      </c>
      <c r="D106" s="42">
        <f>B106-C106</f>
        <v/>
      </c>
      <c r="H106" s="2" t="inlineStr">
        <is>
          <t>terminal_value.md §1</t>
        </is>
      </c>
    </row>
    <row r="107">
      <c r="A107" t="inlineStr">
        <is>
          <t>Terminal value, BASE ($M)</t>
        </is>
      </c>
      <c r="B107" s="25">
        <f>D25</f>
        <v/>
      </c>
      <c r="C107" s="12" t="n">
        <v>161175</v>
      </c>
      <c r="D107" s="42">
        <f>B107-C107</f>
        <v/>
      </c>
      <c r="H107" s="2" t="inlineStr">
        <is>
          <t>terminal_value.md §1</t>
        </is>
      </c>
    </row>
    <row r="108">
      <c r="A108" t="inlineStr">
        <is>
          <t>Terminal value, BULL ($M)</t>
        </is>
      </c>
      <c r="B108" s="25">
        <f>E25</f>
        <v/>
      </c>
      <c r="C108" s="12" t="n">
        <v>286770</v>
      </c>
      <c r="D108" s="42">
        <f>B108-C108</f>
        <v/>
      </c>
      <c r="H108" s="2" t="inlineStr">
        <is>
          <t>terminal_value.md §1</t>
        </is>
      </c>
    </row>
    <row r="109">
      <c r="A109" t="inlineStr">
        <is>
          <t>Probability-weighted terminal value ($M)</t>
        </is>
      </c>
      <c r="B109" s="25">
        <f>F25</f>
        <v/>
      </c>
      <c r="C109" s="12" t="n">
        <v>150436</v>
      </c>
      <c r="D109" s="42">
        <f>B109-C109</f>
        <v/>
      </c>
      <c r="H109" s="2" t="inlineStr">
        <is>
          <t>terminal_value.md §1 / valuation.md §2.1</t>
        </is>
      </c>
    </row>
    <row r="110">
      <c r="A110" t="inlineStr">
        <is>
          <t>Implied weighted terminal multiple</t>
        </is>
      </c>
      <c r="B110" s="36">
        <f>F23</f>
        <v/>
      </c>
      <c r="C110" s="43" t="n">
        <v>15.3</v>
      </c>
      <c r="D110" s="44">
        <f>B110-C110</f>
        <v/>
      </c>
      <c r="H110" s="2" t="inlineStr">
        <is>
          <t>terminal_value.md §1</t>
        </is>
      </c>
    </row>
    <row r="111">
      <c r="A111" t="inlineStr">
        <is>
          <t>PV of owners' earnings, weighted ($M)</t>
        </is>
      </c>
      <c r="B111" s="25">
        <f>F51</f>
        <v/>
      </c>
      <c r="C111" s="12" t="n">
        <v>33057</v>
      </c>
      <c r="D111" s="42">
        <f>B111-C111</f>
        <v/>
      </c>
      <c r="H111" s="2" t="inlineStr">
        <is>
          <t>valuation.md §2.2</t>
        </is>
      </c>
    </row>
    <row r="112">
      <c r="A112" t="inlineStr">
        <is>
          <t>PV of terminal value, weighted ($M)</t>
        </is>
      </c>
      <c r="B112" s="25">
        <f>F52</f>
        <v/>
      </c>
      <c r="C112" s="12" t="n">
        <v>86012</v>
      </c>
      <c r="D112" s="42">
        <f>B112-C112</f>
        <v/>
      </c>
      <c r="H112" s="2" t="inlineStr">
        <is>
          <t>valuation.md §2.2</t>
        </is>
      </c>
    </row>
    <row r="113">
      <c r="A113" t="inlineStr">
        <is>
          <t>Enterprise value, weighted ($M)</t>
        </is>
      </c>
      <c r="B113" s="25">
        <f>F53</f>
        <v/>
      </c>
      <c r="C113" s="12" t="n">
        <v>119069</v>
      </c>
      <c r="D113" s="42">
        <f>B113-C113</f>
        <v/>
      </c>
      <c r="H113" s="2" t="inlineStr">
        <is>
          <t>valuation.md §2.2</t>
        </is>
      </c>
    </row>
    <row r="114">
      <c r="A114" t="inlineStr">
        <is>
          <t>Standalone assets ($M)</t>
        </is>
      </c>
      <c r="B114" s="25">
        <f>B68</f>
        <v/>
      </c>
      <c r="C114" s="12" t="n">
        <v>5122</v>
      </c>
      <c r="D114" s="42">
        <f>B114-C114</f>
        <v/>
      </c>
      <c r="H114" s="2" t="inlineStr">
        <is>
          <t>valuation.md §3</t>
        </is>
      </c>
    </row>
    <row r="115">
      <c r="A115" t="inlineStr">
        <is>
          <t>Total debt-like items ($M)</t>
        </is>
      </c>
      <c r="B115" s="25">
        <f>B75</f>
        <v/>
      </c>
      <c r="C115" s="12" t="n">
        <v>13324</v>
      </c>
      <c r="D115" s="42">
        <f>B115-C115</f>
        <v/>
      </c>
      <c r="H115" s="2" t="inlineStr">
        <is>
          <t>valuation.md §3</t>
        </is>
      </c>
    </row>
    <row r="116">
      <c r="A116" t="inlineStr">
        <is>
          <t>Equity value, weighted ($M)</t>
        </is>
      </c>
      <c r="B116" s="25">
        <f>F56</f>
        <v/>
      </c>
      <c r="C116" s="12" t="n">
        <v>110867</v>
      </c>
      <c r="D116" s="42">
        <f>B116-C116</f>
        <v/>
      </c>
      <c r="H116" s="2" t="inlineStr">
        <is>
          <t>valuation.md §3</t>
        </is>
      </c>
    </row>
    <row r="117">
      <c r="A117" t="inlineStr">
        <is>
          <t>Diluted shares (M)</t>
        </is>
      </c>
      <c r="B117" s="31">
        <f>'1. Inputs'!$B$32</f>
        <v/>
      </c>
      <c r="C117" s="13" t="n">
        <v>399.1</v>
      </c>
      <c r="D117" s="52">
        <f>B117-C117</f>
        <v/>
      </c>
      <c r="H117" s="2" t="inlineStr">
        <is>
          <t>valuation.md §3</t>
        </is>
      </c>
    </row>
    <row r="118">
      <c r="A118" t="inlineStr">
        <is>
          <t>INTRINSIC VALUE PER SHARE — SEVERE</t>
        </is>
      </c>
      <c r="B118" s="36">
        <f>B58</f>
        <v/>
      </c>
      <c r="C118" s="43" t="n">
        <v>103.77</v>
      </c>
      <c r="D118" s="44">
        <f>B118-C118</f>
        <v/>
      </c>
      <c r="H118" s="2" t="inlineStr">
        <is>
          <t>valuation.md §1</t>
        </is>
      </c>
    </row>
    <row r="119">
      <c r="A119" t="inlineStr">
        <is>
          <t>INTRINSIC VALUE PER SHARE — BEAR</t>
        </is>
      </c>
      <c r="B119" s="36">
        <f>C58</f>
        <v/>
      </c>
      <c r="C119" s="43" t="n">
        <v>182.59</v>
      </c>
      <c r="D119" s="44">
        <f>B119-C119</f>
        <v/>
      </c>
      <c r="H119" s="2" t="inlineStr">
        <is>
          <t>valuation.md §1</t>
        </is>
      </c>
    </row>
    <row r="120">
      <c r="A120" t="inlineStr">
        <is>
          <t>INTRINSIC VALUE PER SHARE — BASE</t>
        </is>
      </c>
      <c r="B120" s="36">
        <f>D58</f>
        <v/>
      </c>
      <c r="C120" s="43" t="n">
        <v>297.71</v>
      </c>
      <c r="D120" s="44">
        <f>B120-C120</f>
        <v/>
      </c>
      <c r="H120" s="2" t="inlineStr">
        <is>
          <t>valuation.md §1</t>
        </is>
      </c>
    </row>
    <row r="121">
      <c r="A121" t="inlineStr">
        <is>
          <t>INTRINSIC VALUE PER SHARE — BULL</t>
        </is>
      </c>
      <c r="B121" s="36">
        <f>E58</f>
        <v/>
      </c>
      <c r="C121" s="43" t="n">
        <v>487.47</v>
      </c>
      <c r="D121" s="44">
        <f>B121-C121</f>
        <v/>
      </c>
      <c r="H121" s="2" t="inlineStr">
        <is>
          <t>valuation.md §1</t>
        </is>
      </c>
    </row>
    <row r="122">
      <c r="A122" t="inlineStr">
        <is>
          <t>INTRINSIC VALUE PER SHARE — WEIGHTED</t>
        </is>
      </c>
      <c r="B122" s="36">
        <f>F58</f>
        <v/>
      </c>
      <c r="C122" s="43" t="n">
        <v>277.79</v>
      </c>
      <c r="D122" s="44">
        <f>B122-C122</f>
        <v/>
      </c>
      <c r="H122" s="2" t="inlineStr">
        <is>
          <t>valuation.md §1 — the headline.</t>
        </is>
      </c>
    </row>
    <row r="124">
      <c r="A124" s="2" t="inlineStr">
        <is>
          <t>Small residuals are expected throughout: the published scripts round scenario owners' earnings to the nearest $M before weighting and multiplying, whereas this workbook carries full precision from the drivers all the way to the per-share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2026-09-10T23:29:43Z</dcterms:created>
  <dcterms:modified xmlns:dcterms="http://purl.org/dc/terms/" xmlns:xsi="http://www.w3.org/2001/XMLSchema-instance" xsi:type="dcterms:W3CDTF">2026-09-10T23:29:43Z</dcterms:modified>
</cp:coreProperties>
</file>